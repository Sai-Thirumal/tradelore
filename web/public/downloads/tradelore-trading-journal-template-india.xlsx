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94f54328b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bf0db3db4c894b67"/>
    <x:sheet xmlns:r="http://schemas.openxmlformats.org/officeDocument/2006/relationships" name="Trades" sheetId="2" r:id="R722f0fa0c8b44065"/>
    <x:sheet xmlns:r="http://schemas.openxmlformats.org/officeDocument/2006/relationships" name="Raw Import" sheetId="3" r:id="R17333ce563124a90"/>
    <x:sheet xmlns:r="http://schemas.openxmlformats.org/officeDocument/2006/relationships" name="Review" sheetId="4" r:id="Rfb9de1e80973420a"/>
    <x:sheet xmlns:r="http://schemas.openxmlformats.org/officeDocument/2006/relationships" name="Instructions" sheetId="5" r:id="Rf69aea25cb41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hh:mm"/>
    <x:numFmt numFmtId="202" formatCode="0.####"/>
    <x:numFmt numFmtId="203" formatCode="#,##0.00;[Red]-#,##0.00"/>
    <x:numFmt numFmtId="204" formatCode="0.00&quot;x&quot;"/>
    <x:numFmt numFmtId="205" formatCode="hh:mm:ss"/>
    <x:numFmt numFmtId="206" formatCode="#,##0.00"/>
    <x:numFmt numFmtId="207" formatCode="0"/>
    <x:numFmt numFmtId="208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44546A"/>
      <x:name val="Carlito"/>
    </x:font>
    <x:font>
      <x:i/>
      <x:sz val="11"/>
      <x:color rgb="FF7F6000"/>
      <x:name val="Carlito"/>
    </x:font>
    <x:font>
      <x:b/>
      <x:sz val="11"/>
      <x:color rgb="FF17324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200" fontId="4" fillId="7" borderId="0" xfId="0" applyNumberFormat="1" applyFont="1" applyFill="1" applyBorder="1"/>
    <x:xf numFmtId="200" fontId="0" fillId="5" borderId="0" xfId="0" applyNumberFormat="1" applyFont="1" applyFill="1" applyBorder="1"/>
    <x:xf numFmtId="200" fontId="4" fillId="7" borderId="1" xfId="0" applyNumberFormat="1" applyFont="1" applyFill="1" applyBorder="1"/>
    <x:xf numFmtId="200" fontId="0" fillId="5" borderId="1" xfId="0" applyNumberFormat="1" applyFont="1" applyFill="1" applyBorder="1"/>
    <x:xf numFmtId="201" fontId="4" fillId="7" borderId="0" xfId="0" applyNumberFormat="1" applyFont="1" applyFill="1" applyBorder="1"/>
    <x:xf numFmtId="201" fontId="0" fillId="5" borderId="0" xfId="0" applyNumberFormat="1" applyFont="1" applyFill="1" applyBorder="1"/>
    <x:xf numFmtId="201" fontId="4" fillId="7" borderId="1" xfId="0" applyNumberFormat="1" applyFont="1" applyFill="1" applyBorder="1"/>
    <x:xf numFmtId="201" fontId="0" fillId="5" borderId="1" xfId="0" applyNumberFormat="1" applyFont="1" applyFill="1" applyBorder="1"/>
    <x:xf numFmtId="202" fontId="4" fillId="7" borderId="0" xfId="0" applyNumberFormat="1" applyFont="1" applyFill="1" applyBorder="1"/>
    <x:xf numFmtId="202" fontId="0" fillId="5" borderId="0" xfId="0" applyNumberFormat="1" applyFont="1" applyFill="1" applyBorder="1"/>
    <x:xf numFmtId="202" fontId="4" fillId="7" borderId="1" xfId="0" applyNumberFormat="1" applyFont="1" applyFill="1" applyBorder="1"/>
    <x:xf numFmtId="202" fontId="0" fillId="5" borderId="1" xfId="0" applyNumberFormat="1" applyFont="1" applyFill="1" applyBorder="1"/>
    <x:xf numFmtId="203" fontId="4" fillId="7" borderId="0" xfId="0" applyNumberFormat="1" applyFont="1" applyFill="1" applyBorder="1"/>
    <x:xf numFmtId="203" fontId="0" fillId="6" borderId="0" xfId="0" applyNumberFormat="1" applyFont="1" applyFill="1" applyBorder="1"/>
    <x:xf numFmtId="203" fontId="0" fillId="5" borderId="0" xfId="0" applyNumberFormat="1" applyFont="1" applyFill="1" applyBorder="1"/>
    <x:xf numFmtId="203" fontId="4" fillId="7" borderId="1" xfId="0" applyNumberFormat="1" applyFont="1" applyFill="1" applyBorder="1"/>
    <x:xf numFmtId="203" fontId="0" fillId="6" borderId="1" xfId="0" applyNumberFormat="1" applyFont="1" applyFill="1" applyBorder="1"/>
    <x:xf numFmtId="203" fontId="0" fillId="5" borderId="1" xfId="0" applyNumberFormat="1" applyFont="1" applyFill="1" applyBorder="1"/>
    <x:xf numFmtId="204" fontId="0" fillId="6" borderId="0" xfId="0" applyNumberFormat="1" applyFont="1" applyFill="1" applyBorder="1"/>
    <x:xf numFmtId="204" fontId="0" fillId="6" borderId="1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5" fontId="0" fillId="5" borderId="0" xfId="0" applyNumberFormat="1" applyFont="1" applyFill="1" applyBorder="1"/>
    <x:xf numFmtId="205" fontId="0" fillId="5" borderId="1" xfId="0" applyNumberFormat="1" applyFont="1" applyFill="1" applyBorder="1"/>
    <x:xf numFmtId="206" fontId="0" fillId="5" borderId="0" xfId="0" applyNumberFormat="1" applyFont="1" applyFill="1" applyBorder="1"/>
    <x:xf numFmtId="206" fontId="0" fillId="5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vertical="center"/>
    </x:xf>
    <x:xf numFmtId="207" fontId="0" fillId="6" borderId="0" xfId="0" applyNumberFormat="1" applyFont="1" applyFill="1" applyBorder="1"/>
    <x:xf numFmtId="207" fontId="0" fillId="6" borderId="1" xfId="0" applyNumberFormat="1" applyFont="1" applyFill="1" applyBorder="1"/>
    <x:xf numFmtId="208" fontId="0" fillId="6" borderId="0" xfId="0" applyNumberFormat="1" applyFont="1" applyFill="1" applyBorder="1"/>
    <x:xf numFmtId="208" fontId="0" fillId="6" borderId="1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648bfe5d64d33" /><Relationship Type="http://schemas.openxmlformats.org/officeDocument/2006/relationships/theme" Target="/xl/theme/theme1.xml" Id="R3ffc0f9c91b34874" /><Relationship Type="http://schemas.openxmlformats.org/officeDocument/2006/relationships/sharedStrings" Target="/xl/sharedStrings.xml" Id="R94682ec86ea348a7" /><Relationship Type="http://schemas.openxmlformats.org/officeDocument/2006/relationships/worksheet" Target="/xl/worksheets/sheet1.xml" Id="Rbf0db3db4c894b67" /><Relationship Type="http://schemas.openxmlformats.org/officeDocument/2006/relationships/worksheet" Target="/xl/worksheets/sheet2.xml" Id="R722f0fa0c8b44065" /><Relationship Type="http://schemas.openxmlformats.org/officeDocument/2006/relationships/worksheet" Target="/xl/worksheets/sheet3.xml" Id="R17333ce563124a90" /><Relationship Type="http://schemas.openxmlformats.org/officeDocument/2006/relationships/worksheet" Target="/xl/worksheets/sheet4.xml" Id="Rfb9de1e80973420a" /><Relationship Type="http://schemas.openxmlformats.org/officeDocument/2006/relationships/worksheet" Target="/xl/worksheets/sheet5.xml" Id="Rf69aea25cb4144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>
      <x:c r="A1" s="6" t="str">
        <x:v>Market</x:v>
      </x:c>
      <x:c r="B1" s="6" t="str">
        <x:v>Direction</x:v>
      </x:c>
      <x:c r="C1" s="6" t="str">
        <x:v>Strategy</x:v>
      </x:c>
      <x:c r="D1" s="6" t="str">
        <x:v>Mistake Tag</x:v>
      </x:c>
      <x:c r="E1" s="6" t="str">
        <x:v>Emotion</x:v>
      </x:c>
      <x:c r="F1" s="6" t="str">
        <x:v>Broker</x:v>
      </x:c>
      <x:c r="G1" s="6" t="str">
        <x:v>Setup Grade</x:v>
      </x:c>
      <x:c r="H1" s="6" t="str">
        <x:v>Followed Plan?</x:v>
      </x:c>
      <x:c r="I1" s="6" t="str">
        <x:v>Row Status</x:v>
      </x:c>
    </x:row>
    <x:row r="2">
      <x:c r="A2" t="str">
        <x:v>Equity</x:v>
      </x:c>
      <x:c r="B2" t="str">
        <x:v>Long</x:v>
      </x:c>
      <x:c r="C2" t="str">
        <x:v>Breakout</x:v>
      </x:c>
      <x:c r="D2" t="str">
        <x:v>None</x:v>
      </x:c>
      <x:c r="E2" t="str">
        <x:v>Calm</x:v>
      </x:c>
      <x:c r="F2" t="str">
        <x:v>Zerodha</x:v>
      </x:c>
      <x:c r="G2" t="str">
        <x:v>A</x:v>
      </x:c>
      <x:c r="H2" t="str">
        <x:v>Yes</x:v>
      </x:c>
      <x:c r="I2" t="str">
        <x:v>FICTIONAL EXAMPLE</x:v>
      </x:c>
    </x:row>
    <x:row r="3">
      <x:c r="A3" t="str">
        <x:v>Equity Futures</x:v>
      </x:c>
      <x:c r="B3" t="str">
        <x:v>Short</x:v>
      </x:c>
      <x:c r="C3" t="str">
        <x:v>Pullback</x:v>
      </x:c>
      <x:c r="D3" t="str">
        <x:v>No Stop</x:v>
      </x:c>
      <x:c r="E3" t="str">
        <x:v>Confident</x:v>
      </x:c>
      <x:c r="F3" t="str">
        <x:v>Dhan</x:v>
      </x:c>
      <x:c r="G3" t="str">
        <x:v>B</x:v>
      </x:c>
      <x:c r="H3" t="str">
        <x:v>No</x:v>
      </x:c>
      <x:c r="I3" t="str">
        <x:v>LIVE ENTRY</x:v>
      </x:c>
    </x:row>
    <x:row r="4">
      <x:c r="A4" t="str">
        <x:v>Equity Options</x:v>
      </x:c>
      <x:c r="C4" t="str">
        <x:v>Trend Following</x:v>
      </x:c>
      <x:c r="D4" t="str">
        <x:v>Oversized Position</x:v>
      </x:c>
      <x:c r="E4" t="str">
        <x:v>Focused</x:v>
      </x:c>
      <x:c r="F4" t="str">
        <x:v>Upstox</x:v>
      </x:c>
      <x:c r="G4" t="str">
        <x:v>C</x:v>
      </x:c>
    </x:row>
    <x:row r="5">
      <x:c r="A5" t="str">
        <x:v>Currency Futures</x:v>
      </x:c>
      <x:c r="C5" t="str">
        <x:v>Mean Reversion</x:v>
      </x:c>
      <x:c r="D5" t="str">
        <x:v>Late Entry</x:v>
      </x:c>
      <x:c r="E5" t="str">
        <x:v>Hesitant</x:v>
      </x:c>
      <x:c r="F5" t="str">
        <x:v>Angel One</x:v>
      </x:c>
    </x:row>
    <x:row r="6">
      <x:c r="A6" t="str">
        <x:v>Currency Options</x:v>
      </x:c>
      <x:c r="C6" t="str">
        <x:v>Momentum</x:v>
      </x:c>
      <x:c r="D6" t="str">
        <x:v>Early Exit</x:v>
      </x:c>
      <x:c r="E6" t="str">
        <x:v>Fearful</x:v>
      </x:c>
      <x:c r="F6" t="str">
        <x:v>Delta Exchange India</x:v>
      </x:c>
    </x:row>
    <x:row r="7">
      <x:c r="A7" t="str">
        <x:v>Commodity Futures</x:v>
      </x:c>
      <x:c r="C7" t="str">
        <x:v>Range</x:v>
      </x:c>
      <x:c r="D7" t="str">
        <x:v>Revenge Trade</x:v>
      </x:c>
      <x:c r="E7" t="str">
        <x:v>Greedy</x:v>
      </x:c>
      <x:c r="F7" t="str">
        <x:v>Manual / Other</x:v>
      </x:c>
    </x:row>
    <x:row r="8">
      <x:c r="A8" t="str">
        <x:v>Commodity Options</x:v>
      </x:c>
      <x:c r="C8" t="str">
        <x:v>Event</x:v>
      </x:c>
      <x:c r="D8" t="str">
        <x:v>Overtrading</x:v>
      </x:c>
      <x:c r="E8" t="str">
        <x:v>Frustrated</x:v>
      </x:c>
    </x:row>
    <x:row r="9">
      <x:c r="A9" t="str">
        <x:v>Crypto Futures</x:v>
      </x:c>
      <x:c r="C9" t="str">
        <x:v>Scalping</x:v>
      </x:c>
      <x:c r="D9" t="str">
        <x:v>FOMO</x:v>
      </x:c>
      <x:c r="E9" t="str">
        <x:v>Impulsive</x:v>
      </x:c>
    </x:row>
    <x:row r="10">
      <x:c r="A10" t="str">
        <x:v>Crypto Options</x:v>
      </x:c>
      <x:c r="C10" t="str">
        <x:v>Swing</x:v>
      </x:c>
      <x:c r="D10" t="str">
        <x:v>Ignored Plan</x:v>
      </x:c>
      <x:c r="E10" t="str">
        <x:v>Tired</x:v>
      </x:c>
    </x:row>
    <x:row r="11">
      <x:c r="A11" t="str">
        <x:v>Other</x:v>
      </x:c>
      <x:c r="C11" t="str">
        <x:v>Other</x:v>
      </x:c>
      <x:c r="D11" t="str">
        <x:v>Poor Risk Reward</x:v>
      </x:c>
      <x:c r="E11" t="str">
        <x:v>Other</x:v>
      </x:c>
    </x:row>
    <x:row r="12">
      <x:c r="D12" t="str">
        <x:v>Averaged Loser</x:v>
      </x:c>
    </x:row>
    <x:row r="13">
      <x:c r="D13" t="str">
        <x:v>Other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2" hidden="0" customWidth="1"/>
    <x:col min="4" max="4" width="10" hidden="0" customWidth="1"/>
    <x:col min="5" max="5" width="10" hidden="0" customWidth="1"/>
    <x:col min="6" max="6" width="20" hidden="0" customWidth="1"/>
    <x:col min="7" max="7" width="19" hidden="0" customWidth="1"/>
    <x:col min="8" max="8" width="18" hidden="0" customWidth="1"/>
    <x:col min="9" max="9" width="18" hidden="0" customWidth="1"/>
    <x:col min="10" max="10" width="10" hidden="0" customWidth="1"/>
    <x:col min="11" max="11" width="13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8" hidden="0" customWidth="1"/>
    <x:col min="17" max="17" width="20" hidden="0" customWidth="1"/>
    <x:col min="18" max="18" width="14" hidden="0" customWidth="1"/>
    <x:col min="19" max="19" width="17" hidden="0" customWidth="1"/>
    <x:col min="20" max="20" width="20" hidden="0" customWidth="1"/>
    <x:col min="21" max="21" width="24" hidden="0" customWidth="1"/>
    <x:col min="22" max="22" width="17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2" hidden="0" customWidth="1"/>
    <x:col min="28" max="28" width="12" hidden="0" customWidth="1"/>
    <x:col min="29" max="29" width="14" hidden="0" customWidth="1"/>
    <x:col min="30" max="30" width="38" hidden="0" customWidth="1"/>
  </x:cols>
  <x:sheetData>
    <x:row r="1" ht="30" customHeight="1">
      <x:c r="A1" s="14" t="str">
        <x:v>TradeLore Trading Journal Template — India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</x:row>
    <x:row r="2" ht="42" customHeight="1">
      <x:c r="A2" s="21" t="str">
        <x:v>Yellow cells are manual inputs. Green cells contain formulas. Enter actual brokerage and statutory charges from your broker contract note; this workbook intentionally contains no hard-coded current fee or tax rates.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  <x:c r="AA2" s="21"/>
      <x:c r="AB2" s="21"/>
      <x:c r="AC2" s="21"/>
      <x:c r="AD2" s="21"/>
    </x:row>
    <x:row r="3" ht="42" customHeight="1">
      <x:c r="A3" s="6" t="str">
        <x:v>Trade ID</x:v>
      </x:c>
      <x:c r="B3" s="6" t="str">
        <x:v>Row Status</x:v>
      </x:c>
      <x:c r="C3" s="6" t="str">
        <x:v>Trade Date</x:v>
      </x:c>
      <x:c r="D3" s="6" t="str">
        <x:v>Entry Time</x:v>
      </x:c>
      <x:c r="E3" s="6" t="str">
        <x:v>Exit Time</x:v>
      </x:c>
      <x:c r="F3" s="6" t="str">
        <x:v>Broker</x:v>
      </x:c>
      <x:c r="G3" s="6" t="str">
        <x:v>Market</x:v>
      </x:c>
      <x:c r="H3" s="6" t="str">
        <x:v>Segment / Product</x:v>
      </x:c>
      <x:c r="I3" s="6" t="str">
        <x:v>Symbol</x:v>
      </x:c>
      <x:c r="J3" s="6" t="str">
        <x:v>Direction</x:v>
      </x:c>
      <x:c r="K3" s="6" t="str">
        <x:v>Quantity / Units</x:v>
      </x:c>
      <x:c r="L3" s="6" t="str">
        <x:v>Entry Price</x:v>
      </x:c>
      <x:c r="M3" s="6" t="str">
        <x:v>Exit Price</x:v>
      </x:c>
      <x:c r="N3" s="6" t="str">
        <x:v>Stop Loss</x:v>
      </x:c>
      <x:c r="O3" s="6" t="str">
        <x:v>Target</x:v>
      </x:c>
      <x:c r="P3" s="6" t="str">
        <x:v>Strategy</x:v>
      </x:c>
      <x:c r="Q3" s="6" t="str">
        <x:v>Mistake Tag</x:v>
      </x:c>
      <x:c r="R3" s="6" t="str">
        <x:v>Emotion</x:v>
      </x:c>
      <x:c r="S3" s="6" t="str">
        <x:v>Brokerage (manual)</x:v>
      </x:c>
      <x:c r="T3" s="6" t="str">
        <x:v>Exchange Charges (manual)</x:v>
      </x:c>
      <x:c r="U3" s="6" t="str">
        <x:v>Taxes / Statutory Charges (manual)</x:v>
      </x:c>
      <x:c r="V3" s="6" t="str">
        <x:v>Other Charges (manual)</x:v>
      </x:c>
      <x:c r="W3" s="6" t="str">
        <x:v>Gross P&amp;L</x:v>
      </x:c>
      <x:c r="X3" s="6" t="str">
        <x:v>Total Charges</x:v>
      </x:c>
      <x:c r="Y3" s="6" t="str">
        <x:v>Net P&amp;L</x:v>
      </x:c>
      <x:c r="Z3" s="6" t="str">
        <x:v>Planned Risk</x:v>
      </x:c>
      <x:c r="AA3" s="6" t="str">
        <x:v>R-Multiple</x:v>
      </x:c>
      <x:c r="AB3" s="6" t="str">
        <x:v>Setup Grade</x:v>
      </x:c>
      <x:c r="AC3" s="6" t="str">
        <x:v>Followed Plan?</x:v>
      </x:c>
      <x:c r="AD3" s="6" t="str">
        <x:v>Notes</x:v>
      </x:c>
    </x:row>
    <x:row r="4">
      <x:c r="A4" s="31" t="str">
        <x:v>EX-001</x:v>
      </x:c>
      <x:c r="B4" s="31" t="str">
        <x:v>FICTIONAL EXAMPLE</x:v>
      </x:c>
      <x:c r="C4" s="34" t="n">
        <x:v>46204</x:v>
      </x:c>
      <x:c r="D4" s="38" t="n">
        <x:v>46204.42013888889</x:v>
      </x:c>
      <x:c r="E4" s="38" t="n">
        <x:v>46204.44583333333</x:v>
      </x:c>
      <x:c r="F4" s="31" t="str">
        <x:v>Zerodha</x:v>
      </x:c>
      <x:c r="G4" s="31" t="str">
        <x:v>Equity Options</x:v>
      </x:c>
      <x:c r="H4" s="31" t="str">
        <x:v>NFO Options</x:v>
      </x:c>
      <x:c r="I4" s="31" t="str">
        <x:v>NIFTY 25000 CE</x:v>
      </x:c>
      <x:c r="J4" s="31" t="str">
        <x:v>Long</x:v>
      </x:c>
      <x:c r="K4" s="42" t="n">
        <x:v>75</x:v>
      </x:c>
      <x:c r="L4" s="46" t="n">
        <x:v>120</x:v>
      </x:c>
      <x:c r="M4" s="46" t="n">
        <x:v>138</x:v>
      </x:c>
      <x:c r="N4" s="46" t="n">
        <x:v>110</x:v>
      </x:c>
      <x:c r="O4" s="46" t="n">
        <x:v>150</x:v>
      </x:c>
      <x:c r="P4" s="46" t="str">
        <x:v>Breakout</x:v>
      </x:c>
      <x:c r="Q4" s="46" t="str">
        <x:v>None</x:v>
      </x:c>
      <x:c r="R4" s="46" t="str">
        <x:v>Calm</x:v>
      </x:c>
      <x:c r="S4" s="46" t="n">
        <x:v>40</x:v>
      </x:c>
      <x:c r="T4" s="46" t="n">
        <x:v>18.5</x:v>
      </x:c>
      <x:c r="U4" s="46" t="n">
        <x:v>22.4</x:v>
      </x:c>
      <x:c r="V4" s="46" t="n">
        <x:v>0</x:v>
      </x:c>
      <x:c r="W4" s="47" t="n">
        <x:f>IF(OR(J4="",K4="",L4="",M4=""),"",IF(J4="Long",(M4-L4)*K4,(L4-M4)*K4))</x:f>
        <x:v>1350</x:v>
      </x:c>
      <x:c r="X4" s="47" t="n">
        <x:f>IF(COUNTA(S4:V4)=0,"",SUM(S4:V4))</x:f>
        <x:v>80.9</x:v>
      </x:c>
      <x:c r="Y4" s="47" t="n">
        <x:f>IF(W4="","",W4-IF(X4="",0,X4))</x:f>
        <x:v>1269.1</x:v>
      </x:c>
      <x:c r="Z4" s="47" t="n">
        <x:f>IF(OR(K4="",L4="",N4=""),"",ABS(L4-N4)*K4)</x:f>
        <x:v>750</x:v>
      </x:c>
      <x:c r="AA4" s="52" t="n">
        <x:f>IFERROR(Y4/Z4,"")</x:f>
        <x:v>1.6921333333333333</x:v>
      </x:c>
      <x:c r="AB4" s="31" t="str">
        <x:v>A</x:v>
      </x:c>
      <x:c r="AC4" s="31" t="str">
        <x:v>Yes</x:v>
      </x:c>
      <x:c r="AD4" s="54" t="str">
        <x:v>FICTIONAL: clean breakout entry. Charges are sample manual inputs, not a current fee schedule.</x:v>
      </x:c>
    </x:row>
    <x:row r="5">
      <x:c r="A5" s="31" t="str">
        <x:v>EX-002</x:v>
      </x:c>
      <x:c r="B5" s="31" t="str">
        <x:v>FICTIONAL EXAMPLE</x:v>
      </x:c>
      <x:c r="C5" s="34" t="n">
        <x:v>46205</x:v>
      </x:c>
      <x:c r="D5" s="38" t="n">
        <x:v>46205.46875</x:v>
      </x:c>
      <x:c r="E5" s="38" t="n">
        <x:v>46205.48472222222</x:v>
      </x:c>
      <x:c r="F5" s="31" t="str">
        <x:v>Dhan</x:v>
      </x:c>
      <x:c r="G5" s="31" t="str">
        <x:v>Equity Futures</x:v>
      </x:c>
      <x:c r="H5" s="31" t="str">
        <x:v>NFO Futures</x:v>
      </x:c>
      <x:c r="I5" s="31" t="str">
        <x:v>BANKNIFTY FUT</x:v>
      </x:c>
      <x:c r="J5" s="31" t="str">
        <x:v>Short</x:v>
      </x:c>
      <x:c r="K5" s="42" t="n">
        <x:v>30</x:v>
      </x:c>
      <x:c r="L5" s="46" t="n">
        <x:v>57120</x:v>
      </x:c>
      <x:c r="M5" s="46" t="n">
        <x:v>57010</x:v>
      </x:c>
      <x:c r="N5" s="46" t="n">
        <x:v>57180</x:v>
      </x:c>
      <x:c r="O5" s="46" t="n">
        <x:v>56950</x:v>
      </x:c>
      <x:c r="P5" s="46" t="str">
        <x:v>Pullback</x:v>
      </x:c>
      <x:c r="Q5" s="46" t="str">
        <x:v>Early Exit</x:v>
      </x:c>
      <x:c r="R5" s="46" t="str">
        <x:v>Hesitant</x:v>
      </x:c>
      <x:c r="S5" s="46" t="n">
        <x:v>40</x:v>
      </x:c>
      <x:c r="T5" s="46" t="n">
        <x:v>25</x:v>
      </x:c>
      <x:c r="U5" s="46" t="n">
        <x:v>35</x:v>
      </x:c>
      <x:c r="V5" s="46" t="n">
        <x:v>0</x:v>
      </x:c>
      <x:c r="W5" s="47" t="n">
        <x:f>IF(OR(J5="",K5="",L5="",M5=""),"",IF(J5="Long",(M5-L5)*K5,(L5-M5)*K5))</x:f>
        <x:v>3300</x:v>
      </x:c>
      <x:c r="X5" s="47" t="n">
        <x:f>IF(COUNTA(S5:V5)=0,"",SUM(S5:V5))</x:f>
        <x:v>100</x:v>
      </x:c>
      <x:c r="Y5" s="47" t="n">
        <x:f>IF(W5="","",W5-IF(X5="",0,X5))</x:f>
        <x:v>3200</x:v>
      </x:c>
      <x:c r="Z5" s="47" t="n">
        <x:f>IF(OR(K5="",L5="",N5=""),"",ABS(L5-N5)*K5)</x:f>
        <x:v>1800</x:v>
      </x:c>
      <x:c r="AA5" s="52" t="n">
        <x:f>IFERROR(Y5/Z5,"")</x:f>
        <x:v>1.7777777777777777</x:v>
      </x:c>
      <x:c r="AB5" s="31" t="str">
        <x:v>B</x:v>
      </x:c>
      <x:c r="AC5" s="31" t="str">
        <x:v>No</x:v>
      </x:c>
      <x:c r="AD5" s="54" t="str">
        <x:v>FICTIONAL: exited before target. Charges are illustrative manual inputs.</x:v>
      </x:c>
    </x:row>
    <x:row r="6">
      <x:c r="A6" s="31" t="str">
        <x:v>EX-003</x:v>
      </x:c>
      <x:c r="B6" s="31" t="str">
        <x:v>FICTIONAL EXAMPLE</x:v>
      </x:c>
      <x:c r="C6" s="34" t="n">
        <x:v>46206</x:v>
      </x:c>
      <x:c r="D6" s="38" t="n">
        <x:v>46206.413194444445</x:v>
      </x:c>
      <x:c r="E6" s="38" t="n">
        <x:v>46206.42222222222</x:v>
      </x:c>
      <x:c r="F6" s="31" t="str">
        <x:v>Delta Exchange India</x:v>
      </x:c>
      <x:c r="G6" s="31" t="str">
        <x:v>Crypto Futures</x:v>
      </x:c>
      <x:c r="H6" s="31" t="str">
        <x:v>Perpetual</x:v>
      </x:c>
      <x:c r="I6" s="31" t="str">
        <x:v>BTCUSD</x:v>
      </x:c>
      <x:c r="J6" s="31" t="str">
        <x:v>Long</x:v>
      </x:c>
      <x:c r="K6" s="42" t="n">
        <x:v>0.01</x:v>
      </x:c>
      <x:c r="L6" s="46" t="n">
        <x:v>58500</x:v>
      </x:c>
      <x:c r="M6" s="46" t="n">
        <x:v>58250</x:v>
      </x:c>
      <x:c r="N6" s="46" t="n">
        <x:v>58300</x:v>
      </x:c>
      <x:c r="O6" s="46" t="n">
        <x:v>59000</x:v>
      </x:c>
      <x:c r="P6" s="46" t="str">
        <x:v>Momentum</x:v>
      </x:c>
      <x:c r="Q6" s="46" t="str">
        <x:v>Ignored Plan</x:v>
      </x:c>
      <x:c r="R6" s="46" t="str">
        <x:v>Impulsive</x:v>
      </x:c>
      <x:c r="S6" s="46" t="n">
        <x:v>0</x:v>
      </x:c>
      <x:c r="T6" s="46" t="n">
        <x:v>0</x:v>
      </x:c>
      <x:c r="U6" s="46" t="n">
        <x:v>0</x:v>
      </x:c>
      <x:c r="V6" s="46" t="n">
        <x:v>0</x:v>
      </x:c>
      <x:c r="W6" s="47" t="n">
        <x:f>IF(OR(J6="",K6="",L6="",M6=""),"",IF(J6="Long",(M6-L6)*K6,(L6-M6)*K6))</x:f>
        <x:v>-2.5</x:v>
      </x:c>
      <x:c r="X6" s="47" t="n">
        <x:f>IF(COUNTA(S6:V6)=0,"",SUM(S6:V6))</x:f>
        <x:v>0</x:v>
      </x:c>
      <x:c r="Y6" s="47" t="n">
        <x:f>IF(W6="","",W6-IF(X6="",0,X6))</x:f>
        <x:v>-2.5</x:v>
      </x:c>
      <x:c r="Z6" s="47" t="n">
        <x:f>IF(OR(K6="",L6="",N6=""),"",ABS(L6-N6)*K6)</x:f>
        <x:v>2</x:v>
      </x:c>
      <x:c r="AA6" s="52" t="n">
        <x:f>IFERROR(Y6/Z6,"")</x:f>
        <x:v>-1.25</x:v>
      </x:c>
      <x:c r="AB6" s="31" t="str">
        <x:v>C</x:v>
      </x:c>
      <x:c r="AC6" s="31" t="str">
        <x:v>No</x:v>
      </x:c>
      <x:c r="AD6" s="54" t="str">
        <x:v>FICTIONAL: enter realised fees from the exchange statement or official export.</x:v>
      </x:c>
    </x:row>
    <x:row r="7">
      <x:c r="A7" s="26"/>
      <x:c r="B7" s="26"/>
      <x:c r="C7" s="35"/>
      <x:c r="D7" s="39"/>
      <x:c r="E7" s="39"/>
      <x:c r="F7" s="26"/>
      <x:c r="G7" s="26"/>
      <x:c r="H7" s="26"/>
      <x:c r="I7" s="26"/>
      <x:c r="J7" s="26"/>
      <x:c r="K7" s="43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7" t="str">
        <x:f>IF(OR(J7="",K7="",L7="",M7=""),"",IF(J7="Long",(M7-L7)*K7,(L7-M7)*K7))</x:f>
      </x:c>
      <x:c r="X7" s="47" t="str">
        <x:f>IF(COUNTA(S7:V7)=0,"",SUM(S7:V7))</x:f>
      </x:c>
      <x:c r="Y7" s="47" t="str">
        <x:f>IF(W7="","",W7-IF(X7="",0,X7))</x:f>
      </x:c>
      <x:c r="Z7" s="47" t="str">
        <x:f>IF(OR(K7="",L7="",N7=""),"",ABS(L7-N7)*K7)</x:f>
      </x:c>
      <x:c r="AA7" s="52" t="str">
        <x:f>IFERROR(Y7/Z7,"")</x:f>
      </x:c>
      <x:c r="AB7" s="26"/>
      <x:c r="AC7" s="26"/>
      <x:c r="AD7" s="55"/>
    </x:row>
    <x:row r="8">
      <x:c r="A8" s="26"/>
      <x:c r="B8" s="26"/>
      <x:c r="C8" s="35"/>
      <x:c r="D8" s="39"/>
      <x:c r="E8" s="39"/>
      <x:c r="F8" s="26"/>
      <x:c r="G8" s="26"/>
      <x:c r="H8" s="26"/>
      <x:c r="I8" s="26"/>
      <x:c r="J8" s="26"/>
      <x:c r="K8" s="43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7" t="str">
        <x:f>IF(OR(J8="",K8="",L8="",M8=""),"",IF(J8="Long",(M8-L8)*K8,(L8-M8)*K8))</x:f>
      </x:c>
      <x:c r="X8" s="47" t="str">
        <x:f>IF(COUNTA(S8:V8)=0,"",SUM(S8:V8))</x:f>
      </x:c>
      <x:c r="Y8" s="47" t="str">
        <x:f>IF(W8="","",W8-IF(X8="",0,X8))</x:f>
      </x:c>
      <x:c r="Z8" s="47" t="str">
        <x:f>IF(OR(K8="",L8="",N8=""),"",ABS(L8-N8)*K8)</x:f>
      </x:c>
      <x:c r="AA8" s="52" t="str">
        <x:f>IFERROR(Y8/Z8,"")</x:f>
      </x:c>
      <x:c r="AB8" s="26"/>
      <x:c r="AC8" s="26"/>
      <x:c r="AD8" s="55"/>
    </x:row>
    <x:row r="9">
      <x:c r="A9" s="26"/>
      <x:c r="B9" s="26"/>
      <x:c r="C9" s="35"/>
      <x:c r="D9" s="39"/>
      <x:c r="E9" s="39"/>
      <x:c r="F9" s="26"/>
      <x:c r="G9" s="26"/>
      <x:c r="H9" s="26"/>
      <x:c r="I9" s="26"/>
      <x:c r="J9" s="26"/>
      <x:c r="K9" s="43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7" t="str">
        <x:f>IF(OR(J9="",K9="",L9="",M9=""),"",IF(J9="Long",(M9-L9)*K9,(L9-M9)*K9))</x:f>
      </x:c>
      <x:c r="X9" s="47" t="str">
        <x:f>IF(COUNTA(S9:V9)=0,"",SUM(S9:V9))</x:f>
      </x:c>
      <x:c r="Y9" s="47" t="str">
        <x:f>IF(W9="","",W9-IF(X9="",0,X9))</x:f>
      </x:c>
      <x:c r="Z9" s="47" t="str">
        <x:f>IF(OR(K9="",L9="",N9=""),"",ABS(L9-N9)*K9)</x:f>
      </x:c>
      <x:c r="AA9" s="52" t="str">
        <x:f>IFERROR(Y9/Z9,"")</x:f>
      </x:c>
      <x:c r="AB9" s="26"/>
      <x:c r="AC9" s="26"/>
      <x:c r="AD9" s="55"/>
    </x:row>
    <x:row r="10">
      <x:c r="A10" s="26"/>
      <x:c r="B10" s="26"/>
      <x:c r="C10" s="35"/>
      <x:c r="D10" s="39"/>
      <x:c r="E10" s="39"/>
      <x:c r="F10" s="26"/>
      <x:c r="G10" s="26"/>
      <x:c r="H10" s="26"/>
      <x:c r="I10" s="26"/>
      <x:c r="J10" s="26"/>
      <x:c r="K10" s="43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7" t="str">
        <x:f>IF(OR(J10="",K10="",L10="",M10=""),"",IF(J10="Long",(M10-L10)*K10,(L10-M10)*K10))</x:f>
      </x:c>
      <x:c r="X10" s="47" t="str">
        <x:f>IF(COUNTA(S10:V10)=0,"",SUM(S10:V10))</x:f>
      </x:c>
      <x:c r="Y10" s="47" t="str">
        <x:f>IF(W10="","",W10-IF(X10="",0,X10))</x:f>
      </x:c>
      <x:c r="Z10" s="47" t="str">
        <x:f>IF(OR(K10="",L10="",N10=""),"",ABS(L10-N10)*K10)</x:f>
      </x:c>
      <x:c r="AA10" s="52" t="str">
        <x:f>IFERROR(Y10/Z10,"")</x:f>
      </x:c>
      <x:c r="AB10" s="26"/>
      <x:c r="AC10" s="26"/>
      <x:c r="AD10" s="55"/>
    </x:row>
    <x:row r="11">
      <x:c r="A11" s="26"/>
      <x:c r="B11" s="26"/>
      <x:c r="C11" s="35"/>
      <x:c r="D11" s="39"/>
      <x:c r="E11" s="39"/>
      <x:c r="F11" s="26"/>
      <x:c r="G11" s="26"/>
      <x:c r="H11" s="26"/>
      <x:c r="I11" s="26"/>
      <x:c r="J11" s="26"/>
      <x:c r="K11" s="43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7" t="str">
        <x:f>IF(OR(J11="",K11="",L11="",M11=""),"",IF(J11="Long",(M11-L11)*K11,(L11-M11)*K11))</x:f>
      </x:c>
      <x:c r="X11" s="47" t="str">
        <x:f>IF(COUNTA(S11:V11)=0,"",SUM(S11:V11))</x:f>
      </x:c>
      <x:c r="Y11" s="47" t="str">
        <x:f>IF(W11="","",W11-IF(X11="",0,X11))</x:f>
      </x:c>
      <x:c r="Z11" s="47" t="str">
        <x:f>IF(OR(K11="",L11="",N11=""),"",ABS(L11-N11)*K11)</x:f>
      </x:c>
      <x:c r="AA11" s="52" t="str">
        <x:f>IFERROR(Y11/Z11,"")</x:f>
      </x:c>
      <x:c r="AB11" s="26"/>
      <x:c r="AC11" s="26"/>
      <x:c r="AD11" s="55"/>
    </x:row>
    <x:row r="12">
      <x:c r="A12" s="26"/>
      <x:c r="B12" s="26"/>
      <x:c r="C12" s="35"/>
      <x:c r="D12" s="39"/>
      <x:c r="E12" s="39"/>
      <x:c r="F12" s="26"/>
      <x:c r="G12" s="26"/>
      <x:c r="H12" s="26"/>
      <x:c r="I12" s="26"/>
      <x:c r="J12" s="26"/>
      <x:c r="K12" s="43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7" t="str">
        <x:f>IF(OR(J12="",K12="",L12="",M12=""),"",IF(J12="Long",(M12-L12)*K12,(L12-M12)*K12))</x:f>
      </x:c>
      <x:c r="X12" s="47" t="str">
        <x:f>IF(COUNTA(S12:V12)=0,"",SUM(S12:V12))</x:f>
      </x:c>
      <x:c r="Y12" s="47" t="str">
        <x:f>IF(W12="","",W12-IF(X12="",0,X12))</x:f>
      </x:c>
      <x:c r="Z12" s="47" t="str">
        <x:f>IF(OR(K12="",L12="",N12=""),"",ABS(L12-N12)*K12)</x:f>
      </x:c>
      <x:c r="AA12" s="52" t="str">
        <x:f>IFERROR(Y12/Z12,"")</x:f>
      </x:c>
      <x:c r="AB12" s="26"/>
      <x:c r="AC12" s="26"/>
      <x:c r="AD12" s="55"/>
    </x:row>
    <x:row r="13">
      <x:c r="A13" s="26"/>
      <x:c r="B13" s="26"/>
      <x:c r="C13" s="35"/>
      <x:c r="D13" s="39"/>
      <x:c r="E13" s="39"/>
      <x:c r="F13" s="26"/>
      <x:c r="G13" s="26"/>
      <x:c r="H13" s="26"/>
      <x:c r="I13" s="26"/>
      <x:c r="J13" s="26"/>
      <x:c r="K13" s="43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7" t="str">
        <x:f>IF(OR(J13="",K13="",L13="",M13=""),"",IF(J13="Long",(M13-L13)*K13,(L13-M13)*K13))</x:f>
      </x:c>
      <x:c r="X13" s="47" t="str">
        <x:f>IF(COUNTA(S13:V13)=0,"",SUM(S13:V13))</x:f>
      </x:c>
      <x:c r="Y13" s="47" t="str">
        <x:f>IF(W13="","",W13-IF(X13="",0,X13))</x:f>
      </x:c>
      <x:c r="Z13" s="47" t="str">
        <x:f>IF(OR(K13="",L13="",N13=""),"",ABS(L13-N13)*K13)</x:f>
      </x:c>
      <x:c r="AA13" s="52" t="str">
        <x:f>IFERROR(Y13/Z13,"")</x:f>
      </x:c>
      <x:c r="AB13" s="26"/>
      <x:c r="AC13" s="26"/>
      <x:c r="AD13" s="55"/>
    </x:row>
    <x:row r="14">
      <x:c r="A14" s="26"/>
      <x:c r="B14" s="26"/>
      <x:c r="C14" s="35"/>
      <x:c r="D14" s="39"/>
      <x:c r="E14" s="39"/>
      <x:c r="F14" s="26"/>
      <x:c r="G14" s="26"/>
      <x:c r="H14" s="26"/>
      <x:c r="I14" s="26"/>
      <x:c r="J14" s="26"/>
      <x:c r="K14" s="43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7" t="str">
        <x:f>IF(OR(J14="",K14="",L14="",M14=""),"",IF(J14="Long",(M14-L14)*K14,(L14-M14)*K14))</x:f>
      </x:c>
      <x:c r="X14" s="47" t="str">
        <x:f>IF(COUNTA(S14:V14)=0,"",SUM(S14:V14))</x:f>
      </x:c>
      <x:c r="Y14" s="47" t="str">
        <x:f>IF(W14="","",W14-IF(X14="",0,X14))</x:f>
      </x:c>
      <x:c r="Z14" s="47" t="str">
        <x:f>IF(OR(K14="",L14="",N14=""),"",ABS(L14-N14)*K14)</x:f>
      </x:c>
      <x:c r="AA14" s="52" t="str">
        <x:f>IFERROR(Y14/Z14,"")</x:f>
      </x:c>
      <x:c r="AB14" s="26"/>
      <x:c r="AC14" s="26"/>
      <x:c r="AD14" s="55"/>
    </x:row>
    <x:row r="15">
      <x:c r="A15" s="26"/>
      <x:c r="B15" s="26"/>
      <x:c r="C15" s="35"/>
      <x:c r="D15" s="39"/>
      <x:c r="E15" s="39"/>
      <x:c r="F15" s="26"/>
      <x:c r="G15" s="26"/>
      <x:c r="H15" s="26"/>
      <x:c r="I15" s="26"/>
      <x:c r="J15" s="26"/>
      <x:c r="K15" s="43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7" t="str">
        <x:f>IF(OR(J15="",K15="",L15="",M15=""),"",IF(J15="Long",(M15-L15)*K15,(L15-M15)*K15))</x:f>
      </x:c>
      <x:c r="X15" s="47" t="str">
        <x:f>IF(COUNTA(S15:V15)=0,"",SUM(S15:V15))</x:f>
      </x:c>
      <x:c r="Y15" s="47" t="str">
        <x:f>IF(W15="","",W15-IF(X15="",0,X15))</x:f>
      </x:c>
      <x:c r="Z15" s="47" t="str">
        <x:f>IF(OR(K15="",L15="",N15=""),"",ABS(L15-N15)*K15)</x:f>
      </x:c>
      <x:c r="AA15" s="52" t="str">
        <x:f>IFERROR(Y15/Z15,"")</x:f>
      </x:c>
      <x:c r="AB15" s="26"/>
      <x:c r="AC15" s="26"/>
      <x:c r="AD15" s="55"/>
    </x:row>
    <x:row r="16">
      <x:c r="A16" s="26"/>
      <x:c r="B16" s="26"/>
      <x:c r="C16" s="35"/>
      <x:c r="D16" s="39"/>
      <x:c r="E16" s="39"/>
      <x:c r="F16" s="26"/>
      <x:c r="G16" s="26"/>
      <x:c r="H16" s="26"/>
      <x:c r="I16" s="26"/>
      <x:c r="J16" s="26"/>
      <x:c r="K16" s="43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7" t="str">
        <x:f>IF(OR(J16="",K16="",L16="",M16=""),"",IF(J16="Long",(M16-L16)*K16,(L16-M16)*K16))</x:f>
      </x:c>
      <x:c r="X16" s="47" t="str">
        <x:f>IF(COUNTA(S16:V16)=0,"",SUM(S16:V16))</x:f>
      </x:c>
      <x:c r="Y16" s="47" t="str">
        <x:f>IF(W16="","",W16-IF(X16="",0,X16))</x:f>
      </x:c>
      <x:c r="Z16" s="47" t="str">
        <x:f>IF(OR(K16="",L16="",N16=""),"",ABS(L16-N16)*K16)</x:f>
      </x:c>
      <x:c r="AA16" s="52" t="str">
        <x:f>IFERROR(Y16/Z16,"")</x:f>
      </x:c>
      <x:c r="AB16" s="26"/>
      <x:c r="AC16" s="26"/>
      <x:c r="AD16" s="55"/>
    </x:row>
    <x:row r="17">
      <x:c r="A17" s="26"/>
      <x:c r="B17" s="26"/>
      <x:c r="C17" s="35"/>
      <x:c r="D17" s="39"/>
      <x:c r="E17" s="39"/>
      <x:c r="F17" s="26"/>
      <x:c r="G17" s="26"/>
      <x:c r="H17" s="26"/>
      <x:c r="I17" s="26"/>
      <x:c r="J17" s="26"/>
      <x:c r="K17" s="43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7" t="str">
        <x:f>IF(OR(J17="",K17="",L17="",M17=""),"",IF(J17="Long",(M17-L17)*K17,(L17-M17)*K17))</x:f>
      </x:c>
      <x:c r="X17" s="47" t="str">
        <x:f>IF(COUNTA(S17:V17)=0,"",SUM(S17:V17))</x:f>
      </x:c>
      <x:c r="Y17" s="47" t="str">
        <x:f>IF(W17="","",W17-IF(X17="",0,X17))</x:f>
      </x:c>
      <x:c r="Z17" s="47" t="str">
        <x:f>IF(OR(K17="",L17="",N17=""),"",ABS(L17-N17)*K17)</x:f>
      </x:c>
      <x:c r="AA17" s="52" t="str">
        <x:f>IFERROR(Y17/Z17,"")</x:f>
      </x:c>
      <x:c r="AB17" s="26"/>
      <x:c r="AC17" s="26"/>
      <x:c r="AD17" s="55"/>
    </x:row>
    <x:row r="18">
      <x:c r="A18" s="26"/>
      <x:c r="B18" s="26"/>
      <x:c r="C18" s="35"/>
      <x:c r="D18" s="39"/>
      <x:c r="E18" s="39"/>
      <x:c r="F18" s="26"/>
      <x:c r="G18" s="26"/>
      <x:c r="H18" s="26"/>
      <x:c r="I18" s="26"/>
      <x:c r="J18" s="26"/>
      <x:c r="K18" s="43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7" t="str">
        <x:f>IF(OR(J18="",K18="",L18="",M18=""),"",IF(J18="Long",(M18-L18)*K18,(L18-M18)*K18))</x:f>
      </x:c>
      <x:c r="X18" s="47" t="str">
        <x:f>IF(COUNTA(S18:V18)=0,"",SUM(S18:V18))</x:f>
      </x:c>
      <x:c r="Y18" s="47" t="str">
        <x:f>IF(W18="","",W18-IF(X18="",0,X18))</x:f>
      </x:c>
      <x:c r="Z18" s="47" t="str">
        <x:f>IF(OR(K18="",L18="",N18=""),"",ABS(L18-N18)*K18)</x:f>
      </x:c>
      <x:c r="AA18" s="52" t="str">
        <x:f>IFERROR(Y18/Z18,"")</x:f>
      </x:c>
      <x:c r="AB18" s="26"/>
      <x:c r="AC18" s="26"/>
      <x:c r="AD18" s="55"/>
    </x:row>
    <x:row r="19">
      <x:c r="A19" s="26"/>
      <x:c r="B19" s="26"/>
      <x:c r="C19" s="35"/>
      <x:c r="D19" s="39"/>
      <x:c r="E19" s="39"/>
      <x:c r="F19" s="26"/>
      <x:c r="G19" s="26"/>
      <x:c r="H19" s="26"/>
      <x:c r="I19" s="26"/>
      <x:c r="J19" s="26"/>
      <x:c r="K19" s="43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7" t="str">
        <x:f>IF(OR(J19="",K19="",L19="",M19=""),"",IF(J19="Long",(M19-L19)*K19,(L19-M19)*K19))</x:f>
      </x:c>
      <x:c r="X19" s="47" t="str">
        <x:f>IF(COUNTA(S19:V19)=0,"",SUM(S19:V19))</x:f>
      </x:c>
      <x:c r="Y19" s="47" t="str">
        <x:f>IF(W19="","",W19-IF(X19="",0,X19))</x:f>
      </x:c>
      <x:c r="Z19" s="47" t="str">
        <x:f>IF(OR(K19="",L19="",N19=""),"",ABS(L19-N19)*K19)</x:f>
      </x:c>
      <x:c r="AA19" s="52" t="str">
        <x:f>IFERROR(Y19/Z19,"")</x:f>
      </x:c>
      <x:c r="AB19" s="26"/>
      <x:c r="AC19" s="26"/>
      <x:c r="AD19" s="55"/>
    </x:row>
    <x:row r="20">
      <x:c r="A20" s="26"/>
      <x:c r="B20" s="26"/>
      <x:c r="C20" s="35"/>
      <x:c r="D20" s="39"/>
      <x:c r="E20" s="39"/>
      <x:c r="F20" s="26"/>
      <x:c r="G20" s="26"/>
      <x:c r="H20" s="26"/>
      <x:c r="I20" s="26"/>
      <x:c r="J20" s="26"/>
      <x:c r="K20" s="43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7" t="str">
        <x:f>IF(OR(J20="",K20="",L20="",M20=""),"",IF(J20="Long",(M20-L20)*K20,(L20-M20)*K20))</x:f>
      </x:c>
      <x:c r="X20" s="47" t="str">
        <x:f>IF(COUNTA(S20:V20)=0,"",SUM(S20:V20))</x:f>
      </x:c>
      <x:c r="Y20" s="47" t="str">
        <x:f>IF(W20="","",W20-IF(X20="",0,X20))</x:f>
      </x:c>
      <x:c r="Z20" s="47" t="str">
        <x:f>IF(OR(K20="",L20="",N20=""),"",ABS(L20-N20)*K20)</x:f>
      </x:c>
      <x:c r="AA20" s="52" t="str">
        <x:f>IFERROR(Y20/Z20,"")</x:f>
      </x:c>
      <x:c r="AB20" s="26"/>
      <x:c r="AC20" s="26"/>
      <x:c r="AD20" s="55"/>
    </x:row>
    <x:row r="21">
      <x:c r="A21" s="26"/>
      <x:c r="B21" s="26"/>
      <x:c r="C21" s="35"/>
      <x:c r="D21" s="39"/>
      <x:c r="E21" s="39"/>
      <x:c r="F21" s="26"/>
      <x:c r="G21" s="26"/>
      <x:c r="H21" s="26"/>
      <x:c r="I21" s="26"/>
      <x:c r="J21" s="26"/>
      <x:c r="K21" s="43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7" t="str">
        <x:f>IF(OR(J21="",K21="",L21="",M21=""),"",IF(J21="Long",(M21-L21)*K21,(L21-M21)*K21))</x:f>
      </x:c>
      <x:c r="X21" s="47" t="str">
        <x:f>IF(COUNTA(S21:V21)=0,"",SUM(S21:V21))</x:f>
      </x:c>
      <x:c r="Y21" s="47" t="str">
        <x:f>IF(W21="","",W21-IF(X21="",0,X21))</x:f>
      </x:c>
      <x:c r="Z21" s="47" t="str">
        <x:f>IF(OR(K21="",L21="",N21=""),"",ABS(L21-N21)*K21)</x:f>
      </x:c>
      <x:c r="AA21" s="52" t="str">
        <x:f>IFERROR(Y21/Z21,"")</x:f>
      </x:c>
      <x:c r="AB21" s="26"/>
      <x:c r="AC21" s="26"/>
      <x:c r="AD21" s="55"/>
    </x:row>
    <x:row r="22">
      <x:c r="A22" s="26"/>
      <x:c r="B22" s="26"/>
      <x:c r="C22" s="35"/>
      <x:c r="D22" s="39"/>
      <x:c r="E22" s="39"/>
      <x:c r="F22" s="26"/>
      <x:c r="G22" s="26"/>
      <x:c r="H22" s="26"/>
      <x:c r="I22" s="26"/>
      <x:c r="J22" s="26"/>
      <x:c r="K22" s="43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7" t="str">
        <x:f>IF(OR(J22="",K22="",L22="",M22=""),"",IF(J22="Long",(M22-L22)*K22,(L22-M22)*K22))</x:f>
      </x:c>
      <x:c r="X22" s="47" t="str">
        <x:f>IF(COUNTA(S22:V22)=0,"",SUM(S22:V22))</x:f>
      </x:c>
      <x:c r="Y22" s="47" t="str">
        <x:f>IF(W22="","",W22-IF(X22="",0,X22))</x:f>
      </x:c>
      <x:c r="Z22" s="47" t="str">
        <x:f>IF(OR(K22="",L22="",N22=""),"",ABS(L22-N22)*K22)</x:f>
      </x:c>
      <x:c r="AA22" s="52" t="str">
        <x:f>IFERROR(Y22/Z22,"")</x:f>
      </x:c>
      <x:c r="AB22" s="26"/>
      <x:c r="AC22" s="26"/>
      <x:c r="AD22" s="55"/>
    </x:row>
    <x:row r="23">
      <x:c r="A23" s="26"/>
      <x:c r="B23" s="26"/>
      <x:c r="C23" s="35"/>
      <x:c r="D23" s="39"/>
      <x:c r="E23" s="39"/>
      <x:c r="F23" s="26"/>
      <x:c r="G23" s="26"/>
      <x:c r="H23" s="26"/>
      <x:c r="I23" s="26"/>
      <x:c r="J23" s="26"/>
      <x:c r="K23" s="43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7" t="str">
        <x:f>IF(OR(J23="",K23="",L23="",M23=""),"",IF(J23="Long",(M23-L23)*K23,(L23-M23)*K23))</x:f>
      </x:c>
      <x:c r="X23" s="47" t="str">
        <x:f>IF(COUNTA(S23:V23)=0,"",SUM(S23:V23))</x:f>
      </x:c>
      <x:c r="Y23" s="47" t="str">
        <x:f>IF(W23="","",W23-IF(X23="",0,X23))</x:f>
      </x:c>
      <x:c r="Z23" s="47" t="str">
        <x:f>IF(OR(K23="",L23="",N23=""),"",ABS(L23-N23)*K23)</x:f>
      </x:c>
      <x:c r="AA23" s="52" t="str">
        <x:f>IFERROR(Y23/Z23,"")</x:f>
      </x:c>
      <x:c r="AB23" s="26"/>
      <x:c r="AC23" s="26"/>
      <x:c r="AD23" s="55"/>
    </x:row>
    <x:row r="24">
      <x:c r="A24" s="26"/>
      <x:c r="B24" s="26"/>
      <x:c r="C24" s="35"/>
      <x:c r="D24" s="39"/>
      <x:c r="E24" s="39"/>
      <x:c r="F24" s="26"/>
      <x:c r="G24" s="26"/>
      <x:c r="H24" s="26"/>
      <x:c r="I24" s="26"/>
      <x:c r="J24" s="26"/>
      <x:c r="K24" s="43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7" t="str">
        <x:f>IF(OR(J24="",K24="",L24="",M24=""),"",IF(J24="Long",(M24-L24)*K24,(L24-M24)*K24))</x:f>
      </x:c>
      <x:c r="X24" s="47" t="str">
        <x:f>IF(COUNTA(S24:V24)=0,"",SUM(S24:V24))</x:f>
      </x:c>
      <x:c r="Y24" s="47" t="str">
        <x:f>IF(W24="","",W24-IF(X24="",0,X24))</x:f>
      </x:c>
      <x:c r="Z24" s="47" t="str">
        <x:f>IF(OR(K24="",L24="",N24=""),"",ABS(L24-N24)*K24)</x:f>
      </x:c>
      <x:c r="AA24" s="52" t="str">
        <x:f>IFERROR(Y24/Z24,"")</x:f>
      </x:c>
      <x:c r="AB24" s="26"/>
      <x:c r="AC24" s="26"/>
      <x:c r="AD24" s="55"/>
    </x:row>
    <x:row r="25">
      <x:c r="A25" s="26"/>
      <x:c r="B25" s="26"/>
      <x:c r="C25" s="35"/>
      <x:c r="D25" s="39"/>
      <x:c r="E25" s="39"/>
      <x:c r="F25" s="26"/>
      <x:c r="G25" s="26"/>
      <x:c r="H25" s="26"/>
      <x:c r="I25" s="26"/>
      <x:c r="J25" s="26"/>
      <x:c r="K25" s="43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7" t="str">
        <x:f>IF(OR(J25="",K25="",L25="",M25=""),"",IF(J25="Long",(M25-L25)*K25,(L25-M25)*K25))</x:f>
      </x:c>
      <x:c r="X25" s="47" t="str">
        <x:f>IF(COUNTA(S25:V25)=0,"",SUM(S25:V25))</x:f>
      </x:c>
      <x:c r="Y25" s="47" t="str">
        <x:f>IF(W25="","",W25-IF(X25="",0,X25))</x:f>
      </x:c>
      <x:c r="Z25" s="47" t="str">
        <x:f>IF(OR(K25="",L25="",N25=""),"",ABS(L25-N25)*K25)</x:f>
      </x:c>
      <x:c r="AA25" s="52" t="str">
        <x:f>IFERROR(Y25/Z25,"")</x:f>
      </x:c>
      <x:c r="AB25" s="26"/>
      <x:c r="AC25" s="26"/>
      <x:c r="AD25" s="55"/>
    </x:row>
    <x:row r="26">
      <x:c r="A26" s="26"/>
      <x:c r="B26" s="26"/>
      <x:c r="C26" s="35"/>
      <x:c r="D26" s="39"/>
      <x:c r="E26" s="39"/>
      <x:c r="F26" s="26"/>
      <x:c r="G26" s="26"/>
      <x:c r="H26" s="26"/>
      <x:c r="I26" s="26"/>
      <x:c r="J26" s="26"/>
      <x:c r="K26" s="43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7" t="str">
        <x:f>IF(OR(J26="",K26="",L26="",M26=""),"",IF(J26="Long",(M26-L26)*K26,(L26-M26)*K26))</x:f>
      </x:c>
      <x:c r="X26" s="47" t="str">
        <x:f>IF(COUNTA(S26:V26)=0,"",SUM(S26:V26))</x:f>
      </x:c>
      <x:c r="Y26" s="47" t="str">
        <x:f>IF(W26="","",W26-IF(X26="",0,X26))</x:f>
      </x:c>
      <x:c r="Z26" s="47" t="str">
        <x:f>IF(OR(K26="",L26="",N26=""),"",ABS(L26-N26)*K26)</x:f>
      </x:c>
      <x:c r="AA26" s="52" t="str">
        <x:f>IFERROR(Y26/Z26,"")</x:f>
      </x:c>
      <x:c r="AB26" s="26"/>
      <x:c r="AC26" s="26"/>
      <x:c r="AD26" s="55"/>
    </x:row>
    <x:row r="27">
      <x:c r="A27" s="26"/>
      <x:c r="B27" s="26"/>
      <x:c r="C27" s="35"/>
      <x:c r="D27" s="39"/>
      <x:c r="E27" s="39"/>
      <x:c r="F27" s="26"/>
      <x:c r="G27" s="26"/>
      <x:c r="H27" s="26"/>
      <x:c r="I27" s="26"/>
      <x:c r="J27" s="26"/>
      <x:c r="K27" s="43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7" t="str">
        <x:f>IF(OR(J27="",K27="",L27="",M27=""),"",IF(J27="Long",(M27-L27)*K27,(L27-M27)*K27))</x:f>
      </x:c>
      <x:c r="X27" s="47" t="str">
        <x:f>IF(COUNTA(S27:V27)=0,"",SUM(S27:V27))</x:f>
      </x:c>
      <x:c r="Y27" s="47" t="str">
        <x:f>IF(W27="","",W27-IF(X27="",0,X27))</x:f>
      </x:c>
      <x:c r="Z27" s="47" t="str">
        <x:f>IF(OR(K27="",L27="",N27=""),"",ABS(L27-N27)*K27)</x:f>
      </x:c>
      <x:c r="AA27" s="52" t="str">
        <x:f>IFERROR(Y27/Z27,"")</x:f>
      </x:c>
      <x:c r="AB27" s="26"/>
      <x:c r="AC27" s="26"/>
      <x:c r="AD27" s="55"/>
    </x:row>
    <x:row r="28">
      <x:c r="A28" s="26"/>
      <x:c r="B28" s="26"/>
      <x:c r="C28" s="35"/>
      <x:c r="D28" s="39"/>
      <x:c r="E28" s="39"/>
      <x:c r="F28" s="26"/>
      <x:c r="G28" s="26"/>
      <x:c r="H28" s="26"/>
      <x:c r="I28" s="26"/>
      <x:c r="J28" s="26"/>
      <x:c r="K28" s="43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7" t="str">
        <x:f>IF(OR(J28="",K28="",L28="",M28=""),"",IF(J28="Long",(M28-L28)*K28,(L28-M28)*K28))</x:f>
      </x:c>
      <x:c r="X28" s="47" t="str">
        <x:f>IF(COUNTA(S28:V28)=0,"",SUM(S28:V28))</x:f>
      </x:c>
      <x:c r="Y28" s="47" t="str">
        <x:f>IF(W28="","",W28-IF(X28="",0,X28))</x:f>
      </x:c>
      <x:c r="Z28" s="47" t="str">
        <x:f>IF(OR(K28="",L28="",N28=""),"",ABS(L28-N28)*K28)</x:f>
      </x:c>
      <x:c r="AA28" s="52" t="str">
        <x:f>IFERROR(Y28/Z28,"")</x:f>
      </x:c>
      <x:c r="AB28" s="26"/>
      <x:c r="AC28" s="26"/>
      <x:c r="AD28" s="55"/>
    </x:row>
    <x:row r="29">
      <x:c r="A29" s="26"/>
      <x:c r="B29" s="26"/>
      <x:c r="C29" s="35"/>
      <x:c r="D29" s="39"/>
      <x:c r="E29" s="39"/>
      <x:c r="F29" s="26"/>
      <x:c r="G29" s="26"/>
      <x:c r="H29" s="26"/>
      <x:c r="I29" s="26"/>
      <x:c r="J29" s="26"/>
      <x:c r="K29" s="43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7" t="str">
        <x:f>IF(OR(J29="",K29="",L29="",M29=""),"",IF(J29="Long",(M29-L29)*K29,(L29-M29)*K29))</x:f>
      </x:c>
      <x:c r="X29" s="47" t="str">
        <x:f>IF(COUNTA(S29:V29)=0,"",SUM(S29:V29))</x:f>
      </x:c>
      <x:c r="Y29" s="47" t="str">
        <x:f>IF(W29="","",W29-IF(X29="",0,X29))</x:f>
      </x:c>
      <x:c r="Z29" s="47" t="str">
        <x:f>IF(OR(K29="",L29="",N29=""),"",ABS(L29-N29)*K29)</x:f>
      </x:c>
      <x:c r="AA29" s="52" t="str">
        <x:f>IFERROR(Y29/Z29,"")</x:f>
      </x:c>
      <x:c r="AB29" s="26"/>
      <x:c r="AC29" s="26"/>
      <x:c r="AD29" s="55"/>
    </x:row>
    <x:row r="30">
      <x:c r="A30" s="26"/>
      <x:c r="B30" s="26"/>
      <x:c r="C30" s="35"/>
      <x:c r="D30" s="39"/>
      <x:c r="E30" s="39"/>
      <x:c r="F30" s="26"/>
      <x:c r="G30" s="26"/>
      <x:c r="H30" s="26"/>
      <x:c r="I30" s="26"/>
      <x:c r="J30" s="26"/>
      <x:c r="K30" s="43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7" t="str">
        <x:f>IF(OR(J30="",K30="",L30="",M30=""),"",IF(J30="Long",(M30-L30)*K30,(L30-M30)*K30))</x:f>
      </x:c>
      <x:c r="X30" s="47" t="str">
        <x:f>IF(COUNTA(S30:V30)=0,"",SUM(S30:V30))</x:f>
      </x:c>
      <x:c r="Y30" s="47" t="str">
        <x:f>IF(W30="","",W30-IF(X30="",0,X30))</x:f>
      </x:c>
      <x:c r="Z30" s="47" t="str">
        <x:f>IF(OR(K30="",L30="",N30=""),"",ABS(L30-N30)*K30)</x:f>
      </x:c>
      <x:c r="AA30" s="52" t="str">
        <x:f>IFERROR(Y30/Z30,"")</x:f>
      </x:c>
      <x:c r="AB30" s="26"/>
      <x:c r="AC30" s="26"/>
      <x:c r="AD30" s="55"/>
    </x:row>
    <x:row r="31">
      <x:c r="A31" s="26"/>
      <x:c r="B31" s="26"/>
      <x:c r="C31" s="35"/>
      <x:c r="D31" s="39"/>
      <x:c r="E31" s="39"/>
      <x:c r="F31" s="26"/>
      <x:c r="G31" s="26"/>
      <x:c r="H31" s="26"/>
      <x:c r="I31" s="26"/>
      <x:c r="J31" s="26"/>
      <x:c r="K31" s="43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7" t="str">
        <x:f>IF(OR(J31="",K31="",L31="",M31=""),"",IF(J31="Long",(M31-L31)*K31,(L31-M31)*K31))</x:f>
      </x:c>
      <x:c r="X31" s="47" t="str">
        <x:f>IF(COUNTA(S31:V31)=0,"",SUM(S31:V31))</x:f>
      </x:c>
      <x:c r="Y31" s="47" t="str">
        <x:f>IF(W31="","",W31-IF(X31="",0,X31))</x:f>
      </x:c>
      <x:c r="Z31" s="47" t="str">
        <x:f>IF(OR(K31="",L31="",N31=""),"",ABS(L31-N31)*K31)</x:f>
      </x:c>
      <x:c r="AA31" s="52" t="str">
        <x:f>IFERROR(Y31/Z31,"")</x:f>
      </x:c>
      <x:c r="AB31" s="26"/>
      <x:c r="AC31" s="26"/>
      <x:c r="AD31" s="55"/>
    </x:row>
    <x:row r="32">
      <x:c r="A32" s="26"/>
      <x:c r="B32" s="26"/>
      <x:c r="C32" s="35"/>
      <x:c r="D32" s="39"/>
      <x:c r="E32" s="39"/>
      <x:c r="F32" s="26"/>
      <x:c r="G32" s="26"/>
      <x:c r="H32" s="26"/>
      <x:c r="I32" s="26"/>
      <x:c r="J32" s="26"/>
      <x:c r="K32" s="43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7" t="str">
        <x:f>IF(OR(J32="",K32="",L32="",M32=""),"",IF(J32="Long",(M32-L32)*K32,(L32-M32)*K32))</x:f>
      </x:c>
      <x:c r="X32" s="47" t="str">
        <x:f>IF(COUNTA(S32:V32)=0,"",SUM(S32:V32))</x:f>
      </x:c>
      <x:c r="Y32" s="47" t="str">
        <x:f>IF(W32="","",W32-IF(X32="",0,X32))</x:f>
      </x:c>
      <x:c r="Z32" s="47" t="str">
        <x:f>IF(OR(K32="",L32="",N32=""),"",ABS(L32-N32)*K32)</x:f>
      </x:c>
      <x:c r="AA32" s="52" t="str">
        <x:f>IFERROR(Y32/Z32,"")</x:f>
      </x:c>
      <x:c r="AB32" s="26"/>
      <x:c r="AC32" s="26"/>
      <x:c r="AD32" s="55"/>
    </x:row>
    <x:row r="33">
      <x:c r="A33" s="26"/>
      <x:c r="B33" s="26"/>
      <x:c r="C33" s="35"/>
      <x:c r="D33" s="39"/>
      <x:c r="E33" s="39"/>
      <x:c r="F33" s="26"/>
      <x:c r="G33" s="26"/>
      <x:c r="H33" s="26"/>
      <x:c r="I33" s="26"/>
      <x:c r="J33" s="26"/>
      <x:c r="K33" s="43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7" t="str">
        <x:f>IF(OR(J33="",K33="",L33="",M33=""),"",IF(J33="Long",(M33-L33)*K33,(L33-M33)*K33))</x:f>
      </x:c>
      <x:c r="X33" s="47" t="str">
        <x:f>IF(COUNTA(S33:V33)=0,"",SUM(S33:V33))</x:f>
      </x:c>
      <x:c r="Y33" s="47" t="str">
        <x:f>IF(W33="","",W33-IF(X33="",0,X33))</x:f>
      </x:c>
      <x:c r="Z33" s="47" t="str">
        <x:f>IF(OR(K33="",L33="",N33=""),"",ABS(L33-N33)*K33)</x:f>
      </x:c>
      <x:c r="AA33" s="52" t="str">
        <x:f>IFERROR(Y33/Z33,"")</x:f>
      </x:c>
      <x:c r="AB33" s="26"/>
      <x:c r="AC33" s="26"/>
      <x:c r="AD33" s="55"/>
    </x:row>
    <x:row r="34">
      <x:c r="A34" s="26"/>
      <x:c r="B34" s="26"/>
      <x:c r="C34" s="35"/>
      <x:c r="D34" s="39"/>
      <x:c r="E34" s="39"/>
      <x:c r="F34" s="26"/>
      <x:c r="G34" s="26"/>
      <x:c r="H34" s="26"/>
      <x:c r="I34" s="26"/>
      <x:c r="J34" s="26"/>
      <x:c r="K34" s="43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7" t="str">
        <x:f>IF(OR(J34="",K34="",L34="",M34=""),"",IF(J34="Long",(M34-L34)*K34,(L34-M34)*K34))</x:f>
      </x:c>
      <x:c r="X34" s="47" t="str">
        <x:f>IF(COUNTA(S34:V34)=0,"",SUM(S34:V34))</x:f>
      </x:c>
      <x:c r="Y34" s="47" t="str">
        <x:f>IF(W34="","",W34-IF(X34="",0,X34))</x:f>
      </x:c>
      <x:c r="Z34" s="47" t="str">
        <x:f>IF(OR(K34="",L34="",N34=""),"",ABS(L34-N34)*K34)</x:f>
      </x:c>
      <x:c r="AA34" s="52" t="str">
        <x:f>IFERROR(Y34/Z34,"")</x:f>
      </x:c>
      <x:c r="AB34" s="26"/>
      <x:c r="AC34" s="26"/>
      <x:c r="AD34" s="55"/>
    </x:row>
    <x:row r="35">
      <x:c r="A35" s="26"/>
      <x:c r="B35" s="26"/>
      <x:c r="C35" s="35"/>
      <x:c r="D35" s="39"/>
      <x:c r="E35" s="39"/>
      <x:c r="F35" s="26"/>
      <x:c r="G35" s="26"/>
      <x:c r="H35" s="26"/>
      <x:c r="I35" s="26"/>
      <x:c r="J35" s="26"/>
      <x:c r="K35" s="43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7" t="str">
        <x:f>IF(OR(J35="",K35="",L35="",M35=""),"",IF(J35="Long",(M35-L35)*K35,(L35-M35)*K35))</x:f>
      </x:c>
      <x:c r="X35" s="47" t="str">
        <x:f>IF(COUNTA(S35:V35)=0,"",SUM(S35:V35))</x:f>
      </x:c>
      <x:c r="Y35" s="47" t="str">
        <x:f>IF(W35="","",W35-IF(X35="",0,X35))</x:f>
      </x:c>
      <x:c r="Z35" s="47" t="str">
        <x:f>IF(OR(K35="",L35="",N35=""),"",ABS(L35-N35)*K35)</x:f>
      </x:c>
      <x:c r="AA35" s="52" t="str">
        <x:f>IFERROR(Y35/Z35,"")</x:f>
      </x:c>
      <x:c r="AB35" s="26"/>
      <x:c r="AC35" s="26"/>
      <x:c r="AD35" s="55"/>
    </x:row>
    <x:row r="36">
      <x:c r="A36" s="26"/>
      <x:c r="B36" s="26"/>
      <x:c r="C36" s="35"/>
      <x:c r="D36" s="39"/>
      <x:c r="E36" s="39"/>
      <x:c r="F36" s="26"/>
      <x:c r="G36" s="26"/>
      <x:c r="H36" s="26"/>
      <x:c r="I36" s="26"/>
      <x:c r="J36" s="26"/>
      <x:c r="K36" s="43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7" t="str">
        <x:f>IF(OR(J36="",K36="",L36="",M36=""),"",IF(J36="Long",(M36-L36)*K36,(L36-M36)*K36))</x:f>
      </x:c>
      <x:c r="X36" s="47" t="str">
        <x:f>IF(COUNTA(S36:V36)=0,"",SUM(S36:V36))</x:f>
      </x:c>
      <x:c r="Y36" s="47" t="str">
        <x:f>IF(W36="","",W36-IF(X36="",0,X36))</x:f>
      </x:c>
      <x:c r="Z36" s="47" t="str">
        <x:f>IF(OR(K36="",L36="",N36=""),"",ABS(L36-N36)*K36)</x:f>
      </x:c>
      <x:c r="AA36" s="52" t="str">
        <x:f>IFERROR(Y36/Z36,"")</x:f>
      </x:c>
      <x:c r="AB36" s="26"/>
      <x:c r="AC36" s="26"/>
      <x:c r="AD36" s="55"/>
    </x:row>
    <x:row r="37">
      <x:c r="A37" s="26"/>
      <x:c r="B37" s="26"/>
      <x:c r="C37" s="35"/>
      <x:c r="D37" s="39"/>
      <x:c r="E37" s="39"/>
      <x:c r="F37" s="26"/>
      <x:c r="G37" s="26"/>
      <x:c r="H37" s="26"/>
      <x:c r="I37" s="26"/>
      <x:c r="J37" s="26"/>
      <x:c r="K37" s="43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7" t="str">
        <x:f>IF(OR(J37="",K37="",L37="",M37=""),"",IF(J37="Long",(M37-L37)*K37,(L37-M37)*K37))</x:f>
      </x:c>
      <x:c r="X37" s="47" t="str">
        <x:f>IF(COUNTA(S37:V37)=0,"",SUM(S37:V37))</x:f>
      </x:c>
      <x:c r="Y37" s="47" t="str">
        <x:f>IF(W37="","",W37-IF(X37="",0,X37))</x:f>
      </x:c>
      <x:c r="Z37" s="47" t="str">
        <x:f>IF(OR(K37="",L37="",N37=""),"",ABS(L37-N37)*K37)</x:f>
      </x:c>
      <x:c r="AA37" s="52" t="str">
        <x:f>IFERROR(Y37/Z37,"")</x:f>
      </x:c>
      <x:c r="AB37" s="26"/>
      <x:c r="AC37" s="26"/>
      <x:c r="AD37" s="55"/>
    </x:row>
    <x:row r="38">
      <x:c r="A38" s="26"/>
      <x:c r="B38" s="26"/>
      <x:c r="C38" s="35"/>
      <x:c r="D38" s="39"/>
      <x:c r="E38" s="39"/>
      <x:c r="F38" s="26"/>
      <x:c r="G38" s="26"/>
      <x:c r="H38" s="26"/>
      <x:c r="I38" s="26"/>
      <x:c r="J38" s="26"/>
      <x:c r="K38" s="43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7" t="str">
        <x:f>IF(OR(J38="",K38="",L38="",M38=""),"",IF(J38="Long",(M38-L38)*K38,(L38-M38)*K38))</x:f>
      </x:c>
      <x:c r="X38" s="47" t="str">
        <x:f>IF(COUNTA(S38:V38)=0,"",SUM(S38:V38))</x:f>
      </x:c>
      <x:c r="Y38" s="47" t="str">
        <x:f>IF(W38="","",W38-IF(X38="",0,X38))</x:f>
      </x:c>
      <x:c r="Z38" s="47" t="str">
        <x:f>IF(OR(K38="",L38="",N38=""),"",ABS(L38-N38)*K38)</x:f>
      </x:c>
      <x:c r="AA38" s="52" t="str">
        <x:f>IFERROR(Y38/Z38,"")</x:f>
      </x:c>
      <x:c r="AB38" s="26"/>
      <x:c r="AC38" s="26"/>
      <x:c r="AD38" s="55"/>
    </x:row>
    <x:row r="39">
      <x:c r="A39" s="26"/>
      <x:c r="B39" s="26"/>
      <x:c r="C39" s="35"/>
      <x:c r="D39" s="39"/>
      <x:c r="E39" s="39"/>
      <x:c r="F39" s="26"/>
      <x:c r="G39" s="26"/>
      <x:c r="H39" s="26"/>
      <x:c r="I39" s="26"/>
      <x:c r="J39" s="26"/>
      <x:c r="K39" s="43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7" t="str">
        <x:f>IF(OR(J39="",K39="",L39="",M39=""),"",IF(J39="Long",(M39-L39)*K39,(L39-M39)*K39))</x:f>
      </x:c>
      <x:c r="X39" s="47" t="str">
        <x:f>IF(COUNTA(S39:V39)=0,"",SUM(S39:V39))</x:f>
      </x:c>
      <x:c r="Y39" s="47" t="str">
        <x:f>IF(W39="","",W39-IF(X39="",0,X39))</x:f>
      </x:c>
      <x:c r="Z39" s="47" t="str">
        <x:f>IF(OR(K39="",L39="",N39=""),"",ABS(L39-N39)*K39)</x:f>
      </x:c>
      <x:c r="AA39" s="52" t="str">
        <x:f>IFERROR(Y39/Z39,"")</x:f>
      </x:c>
      <x:c r="AB39" s="26"/>
      <x:c r="AC39" s="26"/>
      <x:c r="AD39" s="55"/>
    </x:row>
    <x:row r="40">
      <x:c r="A40" s="26"/>
      <x:c r="B40" s="26"/>
      <x:c r="C40" s="35"/>
      <x:c r="D40" s="39"/>
      <x:c r="E40" s="39"/>
      <x:c r="F40" s="26"/>
      <x:c r="G40" s="26"/>
      <x:c r="H40" s="26"/>
      <x:c r="I40" s="26"/>
      <x:c r="J40" s="26"/>
      <x:c r="K40" s="43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7" t="str">
        <x:f>IF(OR(J40="",K40="",L40="",M40=""),"",IF(J40="Long",(M40-L40)*K40,(L40-M40)*K40))</x:f>
      </x:c>
      <x:c r="X40" s="47" t="str">
        <x:f>IF(COUNTA(S40:V40)=0,"",SUM(S40:V40))</x:f>
      </x:c>
      <x:c r="Y40" s="47" t="str">
        <x:f>IF(W40="","",W40-IF(X40="",0,X40))</x:f>
      </x:c>
      <x:c r="Z40" s="47" t="str">
        <x:f>IF(OR(K40="",L40="",N40=""),"",ABS(L40-N40)*K40)</x:f>
      </x:c>
      <x:c r="AA40" s="52" t="str">
        <x:f>IFERROR(Y40/Z40,"")</x:f>
      </x:c>
      <x:c r="AB40" s="26"/>
      <x:c r="AC40" s="26"/>
      <x:c r="AD40" s="55"/>
    </x:row>
    <x:row r="41">
      <x:c r="A41" s="26"/>
      <x:c r="B41" s="26"/>
      <x:c r="C41" s="35"/>
      <x:c r="D41" s="39"/>
      <x:c r="E41" s="39"/>
      <x:c r="F41" s="26"/>
      <x:c r="G41" s="26"/>
      <x:c r="H41" s="26"/>
      <x:c r="I41" s="26"/>
      <x:c r="J41" s="26"/>
      <x:c r="K41" s="43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7" t="str">
        <x:f>IF(OR(J41="",K41="",L41="",M41=""),"",IF(J41="Long",(M41-L41)*K41,(L41-M41)*K41))</x:f>
      </x:c>
      <x:c r="X41" s="47" t="str">
        <x:f>IF(COUNTA(S41:V41)=0,"",SUM(S41:V41))</x:f>
      </x:c>
      <x:c r="Y41" s="47" t="str">
        <x:f>IF(W41="","",W41-IF(X41="",0,X41))</x:f>
      </x:c>
      <x:c r="Z41" s="47" t="str">
        <x:f>IF(OR(K41="",L41="",N41=""),"",ABS(L41-N41)*K41)</x:f>
      </x:c>
      <x:c r="AA41" s="52" t="str">
        <x:f>IFERROR(Y41/Z41,"")</x:f>
      </x:c>
      <x:c r="AB41" s="26"/>
      <x:c r="AC41" s="26"/>
      <x:c r="AD41" s="55"/>
    </x:row>
    <x:row r="42">
      <x:c r="A42" s="26"/>
      <x:c r="B42" s="26"/>
      <x:c r="C42" s="35"/>
      <x:c r="D42" s="39"/>
      <x:c r="E42" s="39"/>
      <x:c r="F42" s="26"/>
      <x:c r="G42" s="26"/>
      <x:c r="H42" s="26"/>
      <x:c r="I42" s="26"/>
      <x:c r="J42" s="26"/>
      <x:c r="K42" s="43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7" t="str">
        <x:f>IF(OR(J42="",K42="",L42="",M42=""),"",IF(J42="Long",(M42-L42)*K42,(L42-M42)*K42))</x:f>
      </x:c>
      <x:c r="X42" s="47" t="str">
        <x:f>IF(COUNTA(S42:V42)=0,"",SUM(S42:V42))</x:f>
      </x:c>
      <x:c r="Y42" s="47" t="str">
        <x:f>IF(W42="","",W42-IF(X42="",0,X42))</x:f>
      </x:c>
      <x:c r="Z42" s="47" t="str">
        <x:f>IF(OR(K42="",L42="",N42=""),"",ABS(L42-N42)*K42)</x:f>
      </x:c>
      <x:c r="AA42" s="52" t="str">
        <x:f>IFERROR(Y42/Z42,"")</x:f>
      </x:c>
      <x:c r="AB42" s="26"/>
      <x:c r="AC42" s="26"/>
      <x:c r="AD42" s="55"/>
    </x:row>
    <x:row r="43">
      <x:c r="A43" s="26"/>
      <x:c r="B43" s="26"/>
      <x:c r="C43" s="35"/>
      <x:c r="D43" s="39"/>
      <x:c r="E43" s="39"/>
      <x:c r="F43" s="26"/>
      <x:c r="G43" s="26"/>
      <x:c r="H43" s="26"/>
      <x:c r="I43" s="26"/>
      <x:c r="J43" s="26"/>
      <x:c r="K43" s="43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7" t="str">
        <x:f>IF(OR(J43="",K43="",L43="",M43=""),"",IF(J43="Long",(M43-L43)*K43,(L43-M43)*K43))</x:f>
      </x:c>
      <x:c r="X43" s="47" t="str">
        <x:f>IF(COUNTA(S43:V43)=0,"",SUM(S43:V43))</x:f>
      </x:c>
      <x:c r="Y43" s="47" t="str">
        <x:f>IF(W43="","",W43-IF(X43="",0,X43))</x:f>
      </x:c>
      <x:c r="Z43" s="47" t="str">
        <x:f>IF(OR(K43="",L43="",N43=""),"",ABS(L43-N43)*K43)</x:f>
      </x:c>
      <x:c r="AA43" s="52" t="str">
        <x:f>IFERROR(Y43/Z43,"")</x:f>
      </x:c>
      <x:c r="AB43" s="26"/>
      <x:c r="AC43" s="26"/>
      <x:c r="AD43" s="55"/>
    </x:row>
    <x:row r="44">
      <x:c r="A44" s="26"/>
      <x:c r="B44" s="26"/>
      <x:c r="C44" s="35"/>
      <x:c r="D44" s="39"/>
      <x:c r="E44" s="39"/>
      <x:c r="F44" s="26"/>
      <x:c r="G44" s="26"/>
      <x:c r="H44" s="26"/>
      <x:c r="I44" s="26"/>
      <x:c r="J44" s="26"/>
      <x:c r="K44" s="43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7" t="str">
        <x:f>IF(OR(J44="",K44="",L44="",M44=""),"",IF(J44="Long",(M44-L44)*K44,(L44-M44)*K44))</x:f>
      </x:c>
      <x:c r="X44" s="47" t="str">
        <x:f>IF(COUNTA(S44:V44)=0,"",SUM(S44:V44))</x:f>
      </x:c>
      <x:c r="Y44" s="47" t="str">
        <x:f>IF(W44="","",W44-IF(X44="",0,X44))</x:f>
      </x:c>
      <x:c r="Z44" s="47" t="str">
        <x:f>IF(OR(K44="",L44="",N44=""),"",ABS(L44-N44)*K44)</x:f>
      </x:c>
      <x:c r="AA44" s="52" t="str">
        <x:f>IFERROR(Y44/Z44,"")</x:f>
      </x:c>
      <x:c r="AB44" s="26"/>
      <x:c r="AC44" s="26"/>
      <x:c r="AD44" s="55"/>
    </x:row>
    <x:row r="45">
      <x:c r="A45" s="26"/>
      <x:c r="B45" s="26"/>
      <x:c r="C45" s="35"/>
      <x:c r="D45" s="39"/>
      <x:c r="E45" s="39"/>
      <x:c r="F45" s="26"/>
      <x:c r="G45" s="26"/>
      <x:c r="H45" s="26"/>
      <x:c r="I45" s="26"/>
      <x:c r="J45" s="26"/>
      <x:c r="K45" s="43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7" t="str">
        <x:f>IF(OR(J45="",K45="",L45="",M45=""),"",IF(J45="Long",(M45-L45)*K45,(L45-M45)*K45))</x:f>
      </x:c>
      <x:c r="X45" s="47" t="str">
        <x:f>IF(COUNTA(S45:V45)=0,"",SUM(S45:V45))</x:f>
      </x:c>
      <x:c r="Y45" s="47" t="str">
        <x:f>IF(W45="","",W45-IF(X45="",0,X45))</x:f>
      </x:c>
      <x:c r="Z45" s="47" t="str">
        <x:f>IF(OR(K45="",L45="",N45=""),"",ABS(L45-N45)*K45)</x:f>
      </x:c>
      <x:c r="AA45" s="52" t="str">
        <x:f>IFERROR(Y45/Z45,"")</x:f>
      </x:c>
      <x:c r="AB45" s="26"/>
      <x:c r="AC45" s="26"/>
      <x:c r="AD45" s="55"/>
    </x:row>
    <x:row r="46">
      <x:c r="A46" s="26"/>
      <x:c r="B46" s="26"/>
      <x:c r="C46" s="35"/>
      <x:c r="D46" s="39"/>
      <x:c r="E46" s="39"/>
      <x:c r="F46" s="26"/>
      <x:c r="G46" s="26"/>
      <x:c r="H46" s="26"/>
      <x:c r="I46" s="26"/>
      <x:c r="J46" s="26"/>
      <x:c r="K46" s="43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7" t="str">
        <x:f>IF(OR(J46="",K46="",L46="",M46=""),"",IF(J46="Long",(M46-L46)*K46,(L46-M46)*K46))</x:f>
      </x:c>
      <x:c r="X46" s="47" t="str">
        <x:f>IF(COUNTA(S46:V46)=0,"",SUM(S46:V46))</x:f>
      </x:c>
      <x:c r="Y46" s="47" t="str">
        <x:f>IF(W46="","",W46-IF(X46="",0,X46))</x:f>
      </x:c>
      <x:c r="Z46" s="47" t="str">
        <x:f>IF(OR(K46="",L46="",N46=""),"",ABS(L46-N46)*K46)</x:f>
      </x:c>
      <x:c r="AA46" s="52" t="str">
        <x:f>IFERROR(Y46/Z46,"")</x:f>
      </x:c>
      <x:c r="AB46" s="26"/>
      <x:c r="AC46" s="26"/>
      <x:c r="AD46" s="55"/>
    </x:row>
    <x:row r="47">
      <x:c r="A47" s="26"/>
      <x:c r="B47" s="26"/>
      <x:c r="C47" s="35"/>
      <x:c r="D47" s="39"/>
      <x:c r="E47" s="39"/>
      <x:c r="F47" s="26"/>
      <x:c r="G47" s="26"/>
      <x:c r="H47" s="26"/>
      <x:c r="I47" s="26"/>
      <x:c r="J47" s="26"/>
      <x:c r="K47" s="43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7" t="str">
        <x:f>IF(OR(J47="",K47="",L47="",M47=""),"",IF(J47="Long",(M47-L47)*K47,(L47-M47)*K47))</x:f>
      </x:c>
      <x:c r="X47" s="47" t="str">
        <x:f>IF(COUNTA(S47:V47)=0,"",SUM(S47:V47))</x:f>
      </x:c>
      <x:c r="Y47" s="47" t="str">
        <x:f>IF(W47="","",W47-IF(X47="",0,X47))</x:f>
      </x:c>
      <x:c r="Z47" s="47" t="str">
        <x:f>IF(OR(K47="",L47="",N47=""),"",ABS(L47-N47)*K47)</x:f>
      </x:c>
      <x:c r="AA47" s="52" t="str">
        <x:f>IFERROR(Y47/Z47,"")</x:f>
      </x:c>
      <x:c r="AB47" s="26"/>
      <x:c r="AC47" s="26"/>
      <x:c r="AD47" s="55"/>
    </x:row>
    <x:row r="48">
      <x:c r="A48" s="26"/>
      <x:c r="B48" s="26"/>
      <x:c r="C48" s="35"/>
      <x:c r="D48" s="39"/>
      <x:c r="E48" s="39"/>
      <x:c r="F48" s="26"/>
      <x:c r="G48" s="26"/>
      <x:c r="H48" s="26"/>
      <x:c r="I48" s="26"/>
      <x:c r="J48" s="26"/>
      <x:c r="K48" s="43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7" t="str">
        <x:f>IF(OR(J48="",K48="",L48="",M48=""),"",IF(J48="Long",(M48-L48)*K48,(L48-M48)*K48))</x:f>
      </x:c>
      <x:c r="X48" s="47" t="str">
        <x:f>IF(COUNTA(S48:V48)=0,"",SUM(S48:V48))</x:f>
      </x:c>
      <x:c r="Y48" s="47" t="str">
        <x:f>IF(W48="","",W48-IF(X48="",0,X48))</x:f>
      </x:c>
      <x:c r="Z48" s="47" t="str">
        <x:f>IF(OR(K48="",L48="",N48=""),"",ABS(L48-N48)*K48)</x:f>
      </x:c>
      <x:c r="AA48" s="52" t="str">
        <x:f>IFERROR(Y48/Z48,"")</x:f>
      </x:c>
      <x:c r="AB48" s="26"/>
      <x:c r="AC48" s="26"/>
      <x:c r="AD48" s="55"/>
    </x:row>
    <x:row r="49">
      <x:c r="A49" s="26"/>
      <x:c r="B49" s="26"/>
      <x:c r="C49" s="35"/>
      <x:c r="D49" s="39"/>
      <x:c r="E49" s="39"/>
      <x:c r="F49" s="26"/>
      <x:c r="G49" s="26"/>
      <x:c r="H49" s="26"/>
      <x:c r="I49" s="26"/>
      <x:c r="J49" s="26"/>
      <x:c r="K49" s="43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7" t="str">
        <x:f>IF(OR(J49="",K49="",L49="",M49=""),"",IF(J49="Long",(M49-L49)*K49,(L49-M49)*K49))</x:f>
      </x:c>
      <x:c r="X49" s="47" t="str">
        <x:f>IF(COUNTA(S49:V49)=0,"",SUM(S49:V49))</x:f>
      </x:c>
      <x:c r="Y49" s="47" t="str">
        <x:f>IF(W49="","",W49-IF(X49="",0,X49))</x:f>
      </x:c>
      <x:c r="Z49" s="47" t="str">
        <x:f>IF(OR(K49="",L49="",N49=""),"",ABS(L49-N49)*K49)</x:f>
      </x:c>
      <x:c r="AA49" s="52" t="str">
        <x:f>IFERROR(Y49/Z49,"")</x:f>
      </x:c>
      <x:c r="AB49" s="26"/>
      <x:c r="AC49" s="26"/>
      <x:c r="AD49" s="55"/>
    </x:row>
    <x:row r="50">
      <x:c r="A50" s="26"/>
      <x:c r="B50" s="26"/>
      <x:c r="C50" s="35"/>
      <x:c r="D50" s="39"/>
      <x:c r="E50" s="39"/>
      <x:c r="F50" s="26"/>
      <x:c r="G50" s="26"/>
      <x:c r="H50" s="26"/>
      <x:c r="I50" s="26"/>
      <x:c r="J50" s="26"/>
      <x:c r="K50" s="43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7" t="str">
        <x:f>IF(OR(J50="",K50="",L50="",M50=""),"",IF(J50="Long",(M50-L50)*K50,(L50-M50)*K50))</x:f>
      </x:c>
      <x:c r="X50" s="47" t="str">
        <x:f>IF(COUNTA(S50:V50)=0,"",SUM(S50:V50))</x:f>
      </x:c>
      <x:c r="Y50" s="47" t="str">
        <x:f>IF(W50="","",W50-IF(X50="",0,X50))</x:f>
      </x:c>
      <x:c r="Z50" s="47" t="str">
        <x:f>IF(OR(K50="",L50="",N50=""),"",ABS(L50-N50)*K50)</x:f>
      </x:c>
      <x:c r="AA50" s="52" t="str">
        <x:f>IFERROR(Y50/Z50,"")</x:f>
      </x:c>
      <x:c r="AB50" s="26"/>
      <x:c r="AC50" s="26"/>
      <x:c r="AD50" s="55"/>
    </x:row>
    <x:row r="51">
      <x:c r="A51" s="26"/>
      <x:c r="B51" s="26"/>
      <x:c r="C51" s="35"/>
      <x:c r="D51" s="39"/>
      <x:c r="E51" s="39"/>
      <x:c r="F51" s="26"/>
      <x:c r="G51" s="26"/>
      <x:c r="H51" s="26"/>
      <x:c r="I51" s="26"/>
      <x:c r="J51" s="26"/>
      <x:c r="K51" s="43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7" t="str">
        <x:f>IF(OR(J51="",K51="",L51="",M51=""),"",IF(J51="Long",(M51-L51)*K51,(L51-M51)*K51))</x:f>
      </x:c>
      <x:c r="X51" s="47" t="str">
        <x:f>IF(COUNTA(S51:V51)=0,"",SUM(S51:V51))</x:f>
      </x:c>
      <x:c r="Y51" s="47" t="str">
        <x:f>IF(W51="","",W51-IF(X51="",0,X51))</x:f>
      </x:c>
      <x:c r="Z51" s="47" t="str">
        <x:f>IF(OR(K51="",L51="",N51=""),"",ABS(L51-N51)*K51)</x:f>
      </x:c>
      <x:c r="AA51" s="52" t="str">
        <x:f>IFERROR(Y51/Z51,"")</x:f>
      </x:c>
      <x:c r="AB51" s="26"/>
      <x:c r="AC51" s="26"/>
      <x:c r="AD51" s="55"/>
    </x:row>
    <x:row r="52">
      <x:c r="A52" s="26"/>
      <x:c r="B52" s="26"/>
      <x:c r="C52" s="35"/>
      <x:c r="D52" s="39"/>
      <x:c r="E52" s="39"/>
      <x:c r="F52" s="26"/>
      <x:c r="G52" s="26"/>
      <x:c r="H52" s="26"/>
      <x:c r="I52" s="26"/>
      <x:c r="J52" s="26"/>
      <x:c r="K52" s="43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7" t="str">
        <x:f>IF(OR(J52="",K52="",L52="",M52=""),"",IF(J52="Long",(M52-L52)*K52,(L52-M52)*K52))</x:f>
      </x:c>
      <x:c r="X52" s="47" t="str">
        <x:f>IF(COUNTA(S52:V52)=0,"",SUM(S52:V52))</x:f>
      </x:c>
      <x:c r="Y52" s="47" t="str">
        <x:f>IF(W52="","",W52-IF(X52="",0,X52))</x:f>
      </x:c>
      <x:c r="Z52" s="47" t="str">
        <x:f>IF(OR(K52="",L52="",N52=""),"",ABS(L52-N52)*K52)</x:f>
      </x:c>
      <x:c r="AA52" s="52" t="str">
        <x:f>IFERROR(Y52/Z52,"")</x:f>
      </x:c>
      <x:c r="AB52" s="26"/>
      <x:c r="AC52" s="26"/>
      <x:c r="AD52" s="55"/>
    </x:row>
    <x:row r="53">
      <x:c r="A53" s="26"/>
      <x:c r="B53" s="26"/>
      <x:c r="C53" s="35"/>
      <x:c r="D53" s="39"/>
      <x:c r="E53" s="39"/>
      <x:c r="F53" s="26"/>
      <x:c r="G53" s="26"/>
      <x:c r="H53" s="26"/>
      <x:c r="I53" s="26"/>
      <x:c r="J53" s="26"/>
      <x:c r="K53" s="43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7" t="str">
        <x:f>IF(OR(J53="",K53="",L53="",M53=""),"",IF(J53="Long",(M53-L53)*K53,(L53-M53)*K53))</x:f>
      </x:c>
      <x:c r="X53" s="47" t="str">
        <x:f>IF(COUNTA(S53:V53)=0,"",SUM(S53:V53))</x:f>
      </x:c>
      <x:c r="Y53" s="47" t="str">
        <x:f>IF(W53="","",W53-IF(X53="",0,X53))</x:f>
      </x:c>
      <x:c r="Z53" s="47" t="str">
        <x:f>IF(OR(K53="",L53="",N53=""),"",ABS(L53-N53)*K53)</x:f>
      </x:c>
      <x:c r="AA53" s="52" t="str">
        <x:f>IFERROR(Y53/Z53,"")</x:f>
      </x:c>
      <x:c r="AB53" s="26"/>
      <x:c r="AC53" s="26"/>
      <x:c r="AD53" s="55"/>
    </x:row>
    <x:row r="54">
      <x:c r="A54" s="26"/>
      <x:c r="B54" s="26"/>
      <x:c r="C54" s="35"/>
      <x:c r="D54" s="39"/>
      <x:c r="E54" s="39"/>
      <x:c r="F54" s="26"/>
      <x:c r="G54" s="26"/>
      <x:c r="H54" s="26"/>
      <x:c r="I54" s="26"/>
      <x:c r="J54" s="26"/>
      <x:c r="K54" s="43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7" t="str">
        <x:f>IF(OR(J54="",K54="",L54="",M54=""),"",IF(J54="Long",(M54-L54)*K54,(L54-M54)*K54))</x:f>
      </x:c>
      <x:c r="X54" s="47" t="str">
        <x:f>IF(COUNTA(S54:V54)=0,"",SUM(S54:V54))</x:f>
      </x:c>
      <x:c r="Y54" s="47" t="str">
        <x:f>IF(W54="","",W54-IF(X54="",0,X54))</x:f>
      </x:c>
      <x:c r="Z54" s="47" t="str">
        <x:f>IF(OR(K54="",L54="",N54=""),"",ABS(L54-N54)*K54)</x:f>
      </x:c>
      <x:c r="AA54" s="52" t="str">
        <x:f>IFERROR(Y54/Z54,"")</x:f>
      </x:c>
      <x:c r="AB54" s="26"/>
      <x:c r="AC54" s="26"/>
      <x:c r="AD54" s="55"/>
    </x:row>
    <x:row r="55">
      <x:c r="A55" s="26"/>
      <x:c r="B55" s="26"/>
      <x:c r="C55" s="35"/>
      <x:c r="D55" s="39"/>
      <x:c r="E55" s="39"/>
      <x:c r="F55" s="26"/>
      <x:c r="G55" s="26"/>
      <x:c r="H55" s="26"/>
      <x:c r="I55" s="26"/>
      <x:c r="J55" s="26"/>
      <x:c r="K55" s="43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7" t="str">
        <x:f>IF(OR(J55="",K55="",L55="",M55=""),"",IF(J55="Long",(M55-L55)*K55,(L55-M55)*K55))</x:f>
      </x:c>
      <x:c r="X55" s="47" t="str">
        <x:f>IF(COUNTA(S55:V55)=0,"",SUM(S55:V55))</x:f>
      </x:c>
      <x:c r="Y55" s="47" t="str">
        <x:f>IF(W55="","",W55-IF(X55="",0,X55))</x:f>
      </x:c>
      <x:c r="Z55" s="47" t="str">
        <x:f>IF(OR(K55="",L55="",N55=""),"",ABS(L55-N55)*K55)</x:f>
      </x:c>
      <x:c r="AA55" s="52" t="str">
        <x:f>IFERROR(Y55/Z55,"")</x:f>
      </x:c>
      <x:c r="AB55" s="26"/>
      <x:c r="AC55" s="26"/>
      <x:c r="AD55" s="55"/>
    </x:row>
    <x:row r="56">
      <x:c r="A56" s="26"/>
      <x:c r="B56" s="26"/>
      <x:c r="C56" s="35"/>
      <x:c r="D56" s="39"/>
      <x:c r="E56" s="39"/>
      <x:c r="F56" s="26"/>
      <x:c r="G56" s="26"/>
      <x:c r="H56" s="26"/>
      <x:c r="I56" s="26"/>
      <x:c r="J56" s="26"/>
      <x:c r="K56" s="43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7" t="str">
        <x:f>IF(OR(J56="",K56="",L56="",M56=""),"",IF(J56="Long",(M56-L56)*K56,(L56-M56)*K56))</x:f>
      </x:c>
      <x:c r="X56" s="47" t="str">
        <x:f>IF(COUNTA(S56:V56)=0,"",SUM(S56:V56))</x:f>
      </x:c>
      <x:c r="Y56" s="47" t="str">
        <x:f>IF(W56="","",W56-IF(X56="",0,X56))</x:f>
      </x:c>
      <x:c r="Z56" s="47" t="str">
        <x:f>IF(OR(K56="",L56="",N56=""),"",ABS(L56-N56)*K56)</x:f>
      </x:c>
      <x:c r="AA56" s="52" t="str">
        <x:f>IFERROR(Y56/Z56,"")</x:f>
      </x:c>
      <x:c r="AB56" s="26"/>
      <x:c r="AC56" s="26"/>
      <x:c r="AD56" s="55"/>
    </x:row>
    <x:row r="57">
      <x:c r="A57" s="26"/>
      <x:c r="B57" s="26"/>
      <x:c r="C57" s="35"/>
      <x:c r="D57" s="39"/>
      <x:c r="E57" s="39"/>
      <x:c r="F57" s="26"/>
      <x:c r="G57" s="26"/>
      <x:c r="H57" s="26"/>
      <x:c r="I57" s="26"/>
      <x:c r="J57" s="26"/>
      <x:c r="K57" s="43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7" t="str">
        <x:f>IF(OR(J57="",K57="",L57="",M57=""),"",IF(J57="Long",(M57-L57)*K57,(L57-M57)*K57))</x:f>
      </x:c>
      <x:c r="X57" s="47" t="str">
        <x:f>IF(COUNTA(S57:V57)=0,"",SUM(S57:V57))</x:f>
      </x:c>
      <x:c r="Y57" s="47" t="str">
        <x:f>IF(W57="","",W57-IF(X57="",0,X57))</x:f>
      </x:c>
      <x:c r="Z57" s="47" t="str">
        <x:f>IF(OR(K57="",L57="",N57=""),"",ABS(L57-N57)*K57)</x:f>
      </x:c>
      <x:c r="AA57" s="52" t="str">
        <x:f>IFERROR(Y57/Z57,"")</x:f>
      </x:c>
      <x:c r="AB57" s="26"/>
      <x:c r="AC57" s="26"/>
      <x:c r="AD57" s="55"/>
    </x:row>
    <x:row r="58">
      <x:c r="A58" s="26"/>
      <x:c r="B58" s="26"/>
      <x:c r="C58" s="35"/>
      <x:c r="D58" s="39"/>
      <x:c r="E58" s="39"/>
      <x:c r="F58" s="26"/>
      <x:c r="G58" s="26"/>
      <x:c r="H58" s="26"/>
      <x:c r="I58" s="26"/>
      <x:c r="J58" s="26"/>
      <x:c r="K58" s="43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7" t="str">
        <x:f>IF(OR(J58="",K58="",L58="",M58=""),"",IF(J58="Long",(M58-L58)*K58,(L58-M58)*K58))</x:f>
      </x:c>
      <x:c r="X58" s="47" t="str">
        <x:f>IF(COUNTA(S58:V58)=0,"",SUM(S58:V58))</x:f>
      </x:c>
      <x:c r="Y58" s="47" t="str">
        <x:f>IF(W58="","",W58-IF(X58="",0,X58))</x:f>
      </x:c>
      <x:c r="Z58" s="47" t="str">
        <x:f>IF(OR(K58="",L58="",N58=""),"",ABS(L58-N58)*K58)</x:f>
      </x:c>
      <x:c r="AA58" s="52" t="str">
        <x:f>IFERROR(Y58/Z58,"")</x:f>
      </x:c>
      <x:c r="AB58" s="26"/>
      <x:c r="AC58" s="26"/>
      <x:c r="AD58" s="55"/>
    </x:row>
    <x:row r="59">
      <x:c r="A59" s="26"/>
      <x:c r="B59" s="26"/>
      <x:c r="C59" s="35"/>
      <x:c r="D59" s="39"/>
      <x:c r="E59" s="39"/>
      <x:c r="F59" s="26"/>
      <x:c r="G59" s="26"/>
      <x:c r="H59" s="26"/>
      <x:c r="I59" s="26"/>
      <x:c r="J59" s="26"/>
      <x:c r="K59" s="43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7" t="str">
        <x:f>IF(OR(J59="",K59="",L59="",M59=""),"",IF(J59="Long",(M59-L59)*K59,(L59-M59)*K59))</x:f>
      </x:c>
      <x:c r="X59" s="47" t="str">
        <x:f>IF(COUNTA(S59:V59)=0,"",SUM(S59:V59))</x:f>
      </x:c>
      <x:c r="Y59" s="47" t="str">
        <x:f>IF(W59="","",W59-IF(X59="",0,X59))</x:f>
      </x:c>
      <x:c r="Z59" s="47" t="str">
        <x:f>IF(OR(K59="",L59="",N59=""),"",ABS(L59-N59)*K59)</x:f>
      </x:c>
      <x:c r="AA59" s="52" t="str">
        <x:f>IFERROR(Y59/Z59,"")</x:f>
      </x:c>
      <x:c r="AB59" s="26"/>
      <x:c r="AC59" s="26"/>
      <x:c r="AD59" s="55"/>
    </x:row>
    <x:row r="60">
      <x:c r="A60" s="26"/>
      <x:c r="B60" s="26"/>
      <x:c r="C60" s="35"/>
      <x:c r="D60" s="39"/>
      <x:c r="E60" s="39"/>
      <x:c r="F60" s="26"/>
      <x:c r="G60" s="26"/>
      <x:c r="H60" s="26"/>
      <x:c r="I60" s="26"/>
      <x:c r="J60" s="26"/>
      <x:c r="K60" s="43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7" t="str">
        <x:f>IF(OR(J60="",K60="",L60="",M60=""),"",IF(J60="Long",(M60-L60)*K60,(L60-M60)*K60))</x:f>
      </x:c>
      <x:c r="X60" s="47" t="str">
        <x:f>IF(COUNTA(S60:V60)=0,"",SUM(S60:V60))</x:f>
      </x:c>
      <x:c r="Y60" s="47" t="str">
        <x:f>IF(W60="","",W60-IF(X60="",0,X60))</x:f>
      </x:c>
      <x:c r="Z60" s="47" t="str">
        <x:f>IF(OR(K60="",L60="",N60=""),"",ABS(L60-N60)*K60)</x:f>
      </x:c>
      <x:c r="AA60" s="52" t="str">
        <x:f>IFERROR(Y60/Z60,"")</x:f>
      </x:c>
      <x:c r="AB60" s="26"/>
      <x:c r="AC60" s="26"/>
      <x:c r="AD60" s="55"/>
    </x:row>
    <x:row r="61">
      <x:c r="A61" s="26"/>
      <x:c r="B61" s="26"/>
      <x:c r="C61" s="35"/>
      <x:c r="D61" s="39"/>
      <x:c r="E61" s="39"/>
      <x:c r="F61" s="26"/>
      <x:c r="G61" s="26"/>
      <x:c r="H61" s="26"/>
      <x:c r="I61" s="26"/>
      <x:c r="J61" s="26"/>
      <x:c r="K61" s="43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7" t="str">
        <x:f>IF(OR(J61="",K61="",L61="",M61=""),"",IF(J61="Long",(M61-L61)*K61,(L61-M61)*K61))</x:f>
      </x:c>
      <x:c r="X61" s="47" t="str">
        <x:f>IF(COUNTA(S61:V61)=0,"",SUM(S61:V61))</x:f>
      </x:c>
      <x:c r="Y61" s="47" t="str">
        <x:f>IF(W61="","",W61-IF(X61="",0,X61))</x:f>
      </x:c>
      <x:c r="Z61" s="47" t="str">
        <x:f>IF(OR(K61="",L61="",N61=""),"",ABS(L61-N61)*K61)</x:f>
      </x:c>
      <x:c r="AA61" s="52" t="str">
        <x:f>IFERROR(Y61/Z61,"")</x:f>
      </x:c>
      <x:c r="AB61" s="26"/>
      <x:c r="AC61" s="26"/>
      <x:c r="AD61" s="55"/>
    </x:row>
    <x:row r="62">
      <x:c r="A62" s="26"/>
      <x:c r="B62" s="26"/>
      <x:c r="C62" s="35"/>
      <x:c r="D62" s="39"/>
      <x:c r="E62" s="39"/>
      <x:c r="F62" s="26"/>
      <x:c r="G62" s="26"/>
      <x:c r="H62" s="26"/>
      <x:c r="I62" s="26"/>
      <x:c r="J62" s="26"/>
      <x:c r="K62" s="43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7" t="str">
        <x:f>IF(OR(J62="",K62="",L62="",M62=""),"",IF(J62="Long",(M62-L62)*K62,(L62-M62)*K62))</x:f>
      </x:c>
      <x:c r="X62" s="47" t="str">
        <x:f>IF(COUNTA(S62:V62)=0,"",SUM(S62:V62))</x:f>
      </x:c>
      <x:c r="Y62" s="47" t="str">
        <x:f>IF(W62="","",W62-IF(X62="",0,X62))</x:f>
      </x:c>
      <x:c r="Z62" s="47" t="str">
        <x:f>IF(OR(K62="",L62="",N62=""),"",ABS(L62-N62)*K62)</x:f>
      </x:c>
      <x:c r="AA62" s="52" t="str">
        <x:f>IFERROR(Y62/Z62,"")</x:f>
      </x:c>
      <x:c r="AB62" s="26"/>
      <x:c r="AC62" s="26"/>
      <x:c r="AD62" s="55"/>
    </x:row>
    <x:row r="63">
      <x:c r="A63" s="26"/>
      <x:c r="B63" s="26"/>
      <x:c r="C63" s="35"/>
      <x:c r="D63" s="39"/>
      <x:c r="E63" s="39"/>
      <x:c r="F63" s="26"/>
      <x:c r="G63" s="26"/>
      <x:c r="H63" s="26"/>
      <x:c r="I63" s="26"/>
      <x:c r="J63" s="26"/>
      <x:c r="K63" s="43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7" t="str">
        <x:f>IF(OR(J63="",K63="",L63="",M63=""),"",IF(J63="Long",(M63-L63)*K63,(L63-M63)*K63))</x:f>
      </x:c>
      <x:c r="X63" s="47" t="str">
        <x:f>IF(COUNTA(S63:V63)=0,"",SUM(S63:V63))</x:f>
      </x:c>
      <x:c r="Y63" s="47" t="str">
        <x:f>IF(W63="","",W63-IF(X63="",0,X63))</x:f>
      </x:c>
      <x:c r="Z63" s="47" t="str">
        <x:f>IF(OR(K63="",L63="",N63=""),"",ABS(L63-N63)*K63)</x:f>
      </x:c>
      <x:c r="AA63" s="52" t="str">
        <x:f>IFERROR(Y63/Z63,"")</x:f>
      </x:c>
      <x:c r="AB63" s="26"/>
      <x:c r="AC63" s="26"/>
      <x:c r="AD63" s="55"/>
    </x:row>
    <x:row r="64">
      <x:c r="A64" s="26"/>
      <x:c r="B64" s="26"/>
      <x:c r="C64" s="35"/>
      <x:c r="D64" s="39"/>
      <x:c r="E64" s="39"/>
      <x:c r="F64" s="26"/>
      <x:c r="G64" s="26"/>
      <x:c r="H64" s="26"/>
      <x:c r="I64" s="26"/>
      <x:c r="J64" s="26"/>
      <x:c r="K64" s="43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7" t="str">
        <x:f>IF(OR(J64="",K64="",L64="",M64=""),"",IF(J64="Long",(M64-L64)*K64,(L64-M64)*K64))</x:f>
      </x:c>
      <x:c r="X64" s="47" t="str">
        <x:f>IF(COUNTA(S64:V64)=0,"",SUM(S64:V64))</x:f>
      </x:c>
      <x:c r="Y64" s="47" t="str">
        <x:f>IF(W64="","",W64-IF(X64="",0,X64))</x:f>
      </x:c>
      <x:c r="Z64" s="47" t="str">
        <x:f>IF(OR(K64="",L64="",N64=""),"",ABS(L64-N64)*K64)</x:f>
      </x:c>
      <x:c r="AA64" s="52" t="str">
        <x:f>IFERROR(Y64/Z64,"")</x:f>
      </x:c>
      <x:c r="AB64" s="26"/>
      <x:c r="AC64" s="26"/>
      <x:c r="AD64" s="55"/>
    </x:row>
    <x:row r="65">
      <x:c r="A65" s="26"/>
      <x:c r="B65" s="26"/>
      <x:c r="C65" s="35"/>
      <x:c r="D65" s="39"/>
      <x:c r="E65" s="39"/>
      <x:c r="F65" s="26"/>
      <x:c r="G65" s="26"/>
      <x:c r="H65" s="26"/>
      <x:c r="I65" s="26"/>
      <x:c r="J65" s="26"/>
      <x:c r="K65" s="43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7" t="str">
        <x:f>IF(OR(J65="",K65="",L65="",M65=""),"",IF(J65="Long",(M65-L65)*K65,(L65-M65)*K65))</x:f>
      </x:c>
      <x:c r="X65" s="47" t="str">
        <x:f>IF(COUNTA(S65:V65)=0,"",SUM(S65:V65))</x:f>
      </x:c>
      <x:c r="Y65" s="47" t="str">
        <x:f>IF(W65="","",W65-IF(X65="",0,X65))</x:f>
      </x:c>
      <x:c r="Z65" s="47" t="str">
        <x:f>IF(OR(K65="",L65="",N65=""),"",ABS(L65-N65)*K65)</x:f>
      </x:c>
      <x:c r="AA65" s="52" t="str">
        <x:f>IFERROR(Y65/Z65,"")</x:f>
      </x:c>
      <x:c r="AB65" s="26"/>
      <x:c r="AC65" s="26"/>
      <x:c r="AD65" s="55"/>
    </x:row>
    <x:row r="66">
      <x:c r="A66" s="26"/>
      <x:c r="B66" s="26"/>
      <x:c r="C66" s="35"/>
      <x:c r="D66" s="39"/>
      <x:c r="E66" s="39"/>
      <x:c r="F66" s="26"/>
      <x:c r="G66" s="26"/>
      <x:c r="H66" s="26"/>
      <x:c r="I66" s="26"/>
      <x:c r="J66" s="26"/>
      <x:c r="K66" s="43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7" t="str">
        <x:f>IF(OR(J66="",K66="",L66="",M66=""),"",IF(J66="Long",(M66-L66)*K66,(L66-M66)*K66))</x:f>
      </x:c>
      <x:c r="X66" s="47" t="str">
        <x:f>IF(COUNTA(S66:V66)=0,"",SUM(S66:V66))</x:f>
      </x:c>
      <x:c r="Y66" s="47" t="str">
        <x:f>IF(W66="","",W66-IF(X66="",0,X66))</x:f>
      </x:c>
      <x:c r="Z66" s="47" t="str">
        <x:f>IF(OR(K66="",L66="",N66=""),"",ABS(L66-N66)*K66)</x:f>
      </x:c>
      <x:c r="AA66" s="52" t="str">
        <x:f>IFERROR(Y66/Z66,"")</x:f>
      </x:c>
      <x:c r="AB66" s="26"/>
      <x:c r="AC66" s="26"/>
      <x:c r="AD66" s="55"/>
    </x:row>
    <x:row r="67">
      <x:c r="A67" s="26"/>
      <x:c r="B67" s="26"/>
      <x:c r="C67" s="35"/>
      <x:c r="D67" s="39"/>
      <x:c r="E67" s="39"/>
      <x:c r="F67" s="26"/>
      <x:c r="G67" s="26"/>
      <x:c r="H67" s="26"/>
      <x:c r="I67" s="26"/>
      <x:c r="J67" s="26"/>
      <x:c r="K67" s="43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7" t="str">
        <x:f>IF(OR(J67="",K67="",L67="",M67=""),"",IF(J67="Long",(M67-L67)*K67,(L67-M67)*K67))</x:f>
      </x:c>
      <x:c r="X67" s="47" t="str">
        <x:f>IF(COUNTA(S67:V67)=0,"",SUM(S67:V67))</x:f>
      </x:c>
      <x:c r="Y67" s="47" t="str">
        <x:f>IF(W67="","",W67-IF(X67="",0,X67))</x:f>
      </x:c>
      <x:c r="Z67" s="47" t="str">
        <x:f>IF(OR(K67="",L67="",N67=""),"",ABS(L67-N67)*K67)</x:f>
      </x:c>
      <x:c r="AA67" s="52" t="str">
        <x:f>IFERROR(Y67/Z67,"")</x:f>
      </x:c>
      <x:c r="AB67" s="26"/>
      <x:c r="AC67" s="26"/>
      <x:c r="AD67" s="55"/>
    </x:row>
    <x:row r="68">
      <x:c r="A68" s="26"/>
      <x:c r="B68" s="26"/>
      <x:c r="C68" s="35"/>
      <x:c r="D68" s="39"/>
      <x:c r="E68" s="39"/>
      <x:c r="F68" s="26"/>
      <x:c r="G68" s="26"/>
      <x:c r="H68" s="26"/>
      <x:c r="I68" s="26"/>
      <x:c r="J68" s="26"/>
      <x:c r="K68" s="43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7" t="str">
        <x:f>IF(OR(J68="",K68="",L68="",M68=""),"",IF(J68="Long",(M68-L68)*K68,(L68-M68)*K68))</x:f>
      </x:c>
      <x:c r="X68" s="47" t="str">
        <x:f>IF(COUNTA(S68:V68)=0,"",SUM(S68:V68))</x:f>
      </x:c>
      <x:c r="Y68" s="47" t="str">
        <x:f>IF(W68="","",W68-IF(X68="",0,X68))</x:f>
      </x:c>
      <x:c r="Z68" s="47" t="str">
        <x:f>IF(OR(K68="",L68="",N68=""),"",ABS(L68-N68)*K68)</x:f>
      </x:c>
      <x:c r="AA68" s="52" t="str">
        <x:f>IFERROR(Y68/Z68,"")</x:f>
      </x:c>
      <x:c r="AB68" s="26"/>
      <x:c r="AC68" s="26"/>
      <x:c r="AD68" s="55"/>
    </x:row>
    <x:row r="69">
      <x:c r="A69" s="26"/>
      <x:c r="B69" s="26"/>
      <x:c r="C69" s="35"/>
      <x:c r="D69" s="39"/>
      <x:c r="E69" s="39"/>
      <x:c r="F69" s="26"/>
      <x:c r="G69" s="26"/>
      <x:c r="H69" s="26"/>
      <x:c r="I69" s="26"/>
      <x:c r="J69" s="26"/>
      <x:c r="K69" s="43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7" t="str">
        <x:f>IF(OR(J69="",K69="",L69="",M69=""),"",IF(J69="Long",(M69-L69)*K69,(L69-M69)*K69))</x:f>
      </x:c>
      <x:c r="X69" s="47" t="str">
        <x:f>IF(COUNTA(S69:V69)=0,"",SUM(S69:V69))</x:f>
      </x:c>
      <x:c r="Y69" s="47" t="str">
        <x:f>IF(W69="","",W69-IF(X69="",0,X69))</x:f>
      </x:c>
      <x:c r="Z69" s="47" t="str">
        <x:f>IF(OR(K69="",L69="",N69=""),"",ABS(L69-N69)*K69)</x:f>
      </x:c>
      <x:c r="AA69" s="52" t="str">
        <x:f>IFERROR(Y69/Z69,"")</x:f>
      </x:c>
      <x:c r="AB69" s="26"/>
      <x:c r="AC69" s="26"/>
      <x:c r="AD69" s="55"/>
    </x:row>
    <x:row r="70">
      <x:c r="A70" s="26"/>
      <x:c r="B70" s="26"/>
      <x:c r="C70" s="35"/>
      <x:c r="D70" s="39"/>
      <x:c r="E70" s="39"/>
      <x:c r="F70" s="26"/>
      <x:c r="G70" s="26"/>
      <x:c r="H70" s="26"/>
      <x:c r="I70" s="26"/>
      <x:c r="J70" s="26"/>
      <x:c r="K70" s="43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7" t="str">
        <x:f>IF(OR(J70="",K70="",L70="",M70=""),"",IF(J70="Long",(M70-L70)*K70,(L70-M70)*K70))</x:f>
      </x:c>
      <x:c r="X70" s="47" t="str">
        <x:f>IF(COUNTA(S70:V70)=0,"",SUM(S70:V70))</x:f>
      </x:c>
      <x:c r="Y70" s="47" t="str">
        <x:f>IF(W70="","",W70-IF(X70="",0,X70))</x:f>
      </x:c>
      <x:c r="Z70" s="47" t="str">
        <x:f>IF(OR(K70="",L70="",N70=""),"",ABS(L70-N70)*K70)</x:f>
      </x:c>
      <x:c r="AA70" s="52" t="str">
        <x:f>IFERROR(Y70/Z70,"")</x:f>
      </x:c>
      <x:c r="AB70" s="26"/>
      <x:c r="AC70" s="26"/>
      <x:c r="AD70" s="55"/>
    </x:row>
    <x:row r="71">
      <x:c r="A71" s="26"/>
      <x:c r="B71" s="26"/>
      <x:c r="C71" s="35"/>
      <x:c r="D71" s="39"/>
      <x:c r="E71" s="39"/>
      <x:c r="F71" s="26"/>
      <x:c r="G71" s="26"/>
      <x:c r="H71" s="26"/>
      <x:c r="I71" s="26"/>
      <x:c r="J71" s="26"/>
      <x:c r="K71" s="43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7" t="str">
        <x:f>IF(OR(J71="",K71="",L71="",M71=""),"",IF(J71="Long",(M71-L71)*K71,(L71-M71)*K71))</x:f>
      </x:c>
      <x:c r="X71" s="47" t="str">
        <x:f>IF(COUNTA(S71:V71)=0,"",SUM(S71:V71))</x:f>
      </x:c>
      <x:c r="Y71" s="47" t="str">
        <x:f>IF(W71="","",W71-IF(X71="",0,X71))</x:f>
      </x:c>
      <x:c r="Z71" s="47" t="str">
        <x:f>IF(OR(K71="",L71="",N71=""),"",ABS(L71-N71)*K71)</x:f>
      </x:c>
      <x:c r="AA71" s="52" t="str">
        <x:f>IFERROR(Y71/Z71,"")</x:f>
      </x:c>
      <x:c r="AB71" s="26"/>
      <x:c r="AC71" s="26"/>
      <x:c r="AD71" s="55"/>
    </x:row>
    <x:row r="72">
      <x:c r="A72" s="26"/>
      <x:c r="B72" s="26"/>
      <x:c r="C72" s="35"/>
      <x:c r="D72" s="39"/>
      <x:c r="E72" s="39"/>
      <x:c r="F72" s="26"/>
      <x:c r="G72" s="26"/>
      <x:c r="H72" s="26"/>
      <x:c r="I72" s="26"/>
      <x:c r="J72" s="26"/>
      <x:c r="K72" s="43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7" t="str">
        <x:f>IF(OR(J72="",K72="",L72="",M72=""),"",IF(J72="Long",(M72-L72)*K72,(L72-M72)*K72))</x:f>
      </x:c>
      <x:c r="X72" s="47" t="str">
        <x:f>IF(COUNTA(S72:V72)=0,"",SUM(S72:V72))</x:f>
      </x:c>
      <x:c r="Y72" s="47" t="str">
        <x:f>IF(W72="","",W72-IF(X72="",0,X72))</x:f>
      </x:c>
      <x:c r="Z72" s="47" t="str">
        <x:f>IF(OR(K72="",L72="",N72=""),"",ABS(L72-N72)*K72)</x:f>
      </x:c>
      <x:c r="AA72" s="52" t="str">
        <x:f>IFERROR(Y72/Z72,"")</x:f>
      </x:c>
      <x:c r="AB72" s="26"/>
      <x:c r="AC72" s="26"/>
      <x:c r="AD72" s="55"/>
    </x:row>
    <x:row r="73">
      <x:c r="A73" s="26"/>
      <x:c r="B73" s="26"/>
      <x:c r="C73" s="35"/>
      <x:c r="D73" s="39"/>
      <x:c r="E73" s="39"/>
      <x:c r="F73" s="26"/>
      <x:c r="G73" s="26"/>
      <x:c r="H73" s="26"/>
      <x:c r="I73" s="26"/>
      <x:c r="J73" s="26"/>
      <x:c r="K73" s="43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7" t="str">
        <x:f>IF(OR(J73="",K73="",L73="",M73=""),"",IF(J73="Long",(M73-L73)*K73,(L73-M73)*K73))</x:f>
      </x:c>
      <x:c r="X73" s="47" t="str">
        <x:f>IF(COUNTA(S73:V73)=0,"",SUM(S73:V73))</x:f>
      </x:c>
      <x:c r="Y73" s="47" t="str">
        <x:f>IF(W73="","",W73-IF(X73="",0,X73))</x:f>
      </x:c>
      <x:c r="Z73" s="47" t="str">
        <x:f>IF(OR(K73="",L73="",N73=""),"",ABS(L73-N73)*K73)</x:f>
      </x:c>
      <x:c r="AA73" s="52" t="str">
        <x:f>IFERROR(Y73/Z73,"")</x:f>
      </x:c>
      <x:c r="AB73" s="26"/>
      <x:c r="AC73" s="26"/>
      <x:c r="AD73" s="55"/>
    </x:row>
    <x:row r="74">
      <x:c r="A74" s="26"/>
      <x:c r="B74" s="26"/>
      <x:c r="C74" s="35"/>
      <x:c r="D74" s="39"/>
      <x:c r="E74" s="39"/>
      <x:c r="F74" s="26"/>
      <x:c r="G74" s="26"/>
      <x:c r="H74" s="26"/>
      <x:c r="I74" s="26"/>
      <x:c r="J74" s="26"/>
      <x:c r="K74" s="43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7" t="str">
        <x:f>IF(OR(J74="",K74="",L74="",M74=""),"",IF(J74="Long",(M74-L74)*K74,(L74-M74)*K74))</x:f>
      </x:c>
      <x:c r="X74" s="47" t="str">
        <x:f>IF(COUNTA(S74:V74)=0,"",SUM(S74:V74))</x:f>
      </x:c>
      <x:c r="Y74" s="47" t="str">
        <x:f>IF(W74="","",W74-IF(X74="",0,X74))</x:f>
      </x:c>
      <x:c r="Z74" s="47" t="str">
        <x:f>IF(OR(K74="",L74="",N74=""),"",ABS(L74-N74)*K74)</x:f>
      </x:c>
      <x:c r="AA74" s="52" t="str">
        <x:f>IFERROR(Y74/Z74,"")</x:f>
      </x:c>
      <x:c r="AB74" s="26"/>
      <x:c r="AC74" s="26"/>
      <x:c r="AD74" s="55"/>
    </x:row>
    <x:row r="75">
      <x:c r="A75" s="26"/>
      <x:c r="B75" s="26"/>
      <x:c r="C75" s="35"/>
      <x:c r="D75" s="39"/>
      <x:c r="E75" s="39"/>
      <x:c r="F75" s="26"/>
      <x:c r="G75" s="26"/>
      <x:c r="H75" s="26"/>
      <x:c r="I75" s="26"/>
      <x:c r="J75" s="26"/>
      <x:c r="K75" s="43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7" t="str">
        <x:f>IF(OR(J75="",K75="",L75="",M75=""),"",IF(J75="Long",(M75-L75)*K75,(L75-M75)*K75))</x:f>
      </x:c>
      <x:c r="X75" s="47" t="str">
        <x:f>IF(COUNTA(S75:V75)=0,"",SUM(S75:V75))</x:f>
      </x:c>
      <x:c r="Y75" s="47" t="str">
        <x:f>IF(W75="","",W75-IF(X75="",0,X75))</x:f>
      </x:c>
      <x:c r="Z75" s="47" t="str">
        <x:f>IF(OR(K75="",L75="",N75=""),"",ABS(L75-N75)*K75)</x:f>
      </x:c>
      <x:c r="AA75" s="52" t="str">
        <x:f>IFERROR(Y75/Z75,"")</x:f>
      </x:c>
      <x:c r="AB75" s="26"/>
      <x:c r="AC75" s="26"/>
      <x:c r="AD75" s="55"/>
    </x:row>
    <x:row r="76">
      <x:c r="A76" s="26"/>
      <x:c r="B76" s="26"/>
      <x:c r="C76" s="35"/>
      <x:c r="D76" s="39"/>
      <x:c r="E76" s="39"/>
      <x:c r="F76" s="26"/>
      <x:c r="G76" s="26"/>
      <x:c r="H76" s="26"/>
      <x:c r="I76" s="26"/>
      <x:c r="J76" s="26"/>
      <x:c r="K76" s="43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7" t="str">
        <x:f>IF(OR(J76="",K76="",L76="",M76=""),"",IF(J76="Long",(M76-L76)*K76,(L76-M76)*K76))</x:f>
      </x:c>
      <x:c r="X76" s="47" t="str">
        <x:f>IF(COUNTA(S76:V76)=0,"",SUM(S76:V76))</x:f>
      </x:c>
      <x:c r="Y76" s="47" t="str">
        <x:f>IF(W76="","",W76-IF(X76="",0,X76))</x:f>
      </x:c>
      <x:c r="Z76" s="47" t="str">
        <x:f>IF(OR(K76="",L76="",N76=""),"",ABS(L76-N76)*K76)</x:f>
      </x:c>
      <x:c r="AA76" s="52" t="str">
        <x:f>IFERROR(Y76/Z76,"")</x:f>
      </x:c>
      <x:c r="AB76" s="26"/>
      <x:c r="AC76" s="26"/>
      <x:c r="AD76" s="55"/>
    </x:row>
    <x:row r="77">
      <x:c r="A77" s="26"/>
      <x:c r="B77" s="26"/>
      <x:c r="C77" s="35"/>
      <x:c r="D77" s="39"/>
      <x:c r="E77" s="39"/>
      <x:c r="F77" s="26"/>
      <x:c r="G77" s="26"/>
      <x:c r="H77" s="26"/>
      <x:c r="I77" s="26"/>
      <x:c r="J77" s="26"/>
      <x:c r="K77" s="43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7" t="str">
        <x:f>IF(OR(J77="",K77="",L77="",M77=""),"",IF(J77="Long",(M77-L77)*K77,(L77-M77)*K77))</x:f>
      </x:c>
      <x:c r="X77" s="47" t="str">
        <x:f>IF(COUNTA(S77:V77)=0,"",SUM(S77:V77))</x:f>
      </x:c>
      <x:c r="Y77" s="47" t="str">
        <x:f>IF(W77="","",W77-IF(X77="",0,X77))</x:f>
      </x:c>
      <x:c r="Z77" s="47" t="str">
        <x:f>IF(OR(K77="",L77="",N77=""),"",ABS(L77-N77)*K77)</x:f>
      </x:c>
      <x:c r="AA77" s="52" t="str">
        <x:f>IFERROR(Y77/Z77,"")</x:f>
      </x:c>
      <x:c r="AB77" s="26"/>
      <x:c r="AC77" s="26"/>
      <x:c r="AD77" s="55"/>
    </x:row>
    <x:row r="78">
      <x:c r="A78" s="26"/>
      <x:c r="B78" s="26"/>
      <x:c r="C78" s="35"/>
      <x:c r="D78" s="39"/>
      <x:c r="E78" s="39"/>
      <x:c r="F78" s="26"/>
      <x:c r="G78" s="26"/>
      <x:c r="H78" s="26"/>
      <x:c r="I78" s="26"/>
      <x:c r="J78" s="26"/>
      <x:c r="K78" s="43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7" t="str">
        <x:f>IF(OR(J78="",K78="",L78="",M78=""),"",IF(J78="Long",(M78-L78)*K78,(L78-M78)*K78))</x:f>
      </x:c>
      <x:c r="X78" s="47" t="str">
        <x:f>IF(COUNTA(S78:V78)=0,"",SUM(S78:V78))</x:f>
      </x:c>
      <x:c r="Y78" s="47" t="str">
        <x:f>IF(W78="","",W78-IF(X78="",0,X78))</x:f>
      </x:c>
      <x:c r="Z78" s="47" t="str">
        <x:f>IF(OR(K78="",L78="",N78=""),"",ABS(L78-N78)*K78)</x:f>
      </x:c>
      <x:c r="AA78" s="52" t="str">
        <x:f>IFERROR(Y78/Z78,"")</x:f>
      </x:c>
      <x:c r="AB78" s="26"/>
      <x:c r="AC78" s="26"/>
      <x:c r="AD78" s="55"/>
    </x:row>
    <x:row r="79">
      <x:c r="A79" s="26"/>
      <x:c r="B79" s="26"/>
      <x:c r="C79" s="35"/>
      <x:c r="D79" s="39"/>
      <x:c r="E79" s="39"/>
      <x:c r="F79" s="26"/>
      <x:c r="G79" s="26"/>
      <x:c r="H79" s="26"/>
      <x:c r="I79" s="26"/>
      <x:c r="J79" s="26"/>
      <x:c r="K79" s="43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7" t="str">
        <x:f>IF(OR(J79="",K79="",L79="",M79=""),"",IF(J79="Long",(M79-L79)*K79,(L79-M79)*K79))</x:f>
      </x:c>
      <x:c r="X79" s="47" t="str">
        <x:f>IF(COUNTA(S79:V79)=0,"",SUM(S79:V79))</x:f>
      </x:c>
      <x:c r="Y79" s="47" t="str">
        <x:f>IF(W79="","",W79-IF(X79="",0,X79))</x:f>
      </x:c>
      <x:c r="Z79" s="47" t="str">
        <x:f>IF(OR(K79="",L79="",N79=""),"",ABS(L79-N79)*K79)</x:f>
      </x:c>
      <x:c r="AA79" s="52" t="str">
        <x:f>IFERROR(Y79/Z79,"")</x:f>
      </x:c>
      <x:c r="AB79" s="26"/>
      <x:c r="AC79" s="26"/>
      <x:c r="AD79" s="55"/>
    </x:row>
    <x:row r="80">
      <x:c r="A80" s="26"/>
      <x:c r="B80" s="26"/>
      <x:c r="C80" s="35"/>
      <x:c r="D80" s="39"/>
      <x:c r="E80" s="39"/>
      <x:c r="F80" s="26"/>
      <x:c r="G80" s="26"/>
      <x:c r="H80" s="26"/>
      <x:c r="I80" s="26"/>
      <x:c r="J80" s="26"/>
      <x:c r="K80" s="43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7" t="str">
        <x:f>IF(OR(J80="",K80="",L80="",M80=""),"",IF(J80="Long",(M80-L80)*K80,(L80-M80)*K80))</x:f>
      </x:c>
      <x:c r="X80" s="47" t="str">
        <x:f>IF(COUNTA(S80:V80)=0,"",SUM(S80:V80))</x:f>
      </x:c>
      <x:c r="Y80" s="47" t="str">
        <x:f>IF(W80="","",W80-IF(X80="",0,X80))</x:f>
      </x:c>
      <x:c r="Z80" s="47" t="str">
        <x:f>IF(OR(K80="",L80="",N80=""),"",ABS(L80-N80)*K80)</x:f>
      </x:c>
      <x:c r="AA80" s="52" t="str">
        <x:f>IFERROR(Y80/Z80,"")</x:f>
      </x:c>
      <x:c r="AB80" s="26"/>
      <x:c r="AC80" s="26"/>
      <x:c r="AD80" s="55"/>
    </x:row>
    <x:row r="81">
      <x:c r="A81" s="26"/>
      <x:c r="B81" s="26"/>
      <x:c r="C81" s="35"/>
      <x:c r="D81" s="39"/>
      <x:c r="E81" s="39"/>
      <x:c r="F81" s="26"/>
      <x:c r="G81" s="26"/>
      <x:c r="H81" s="26"/>
      <x:c r="I81" s="26"/>
      <x:c r="J81" s="26"/>
      <x:c r="K81" s="43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7" t="str">
        <x:f>IF(OR(J81="",K81="",L81="",M81=""),"",IF(J81="Long",(M81-L81)*K81,(L81-M81)*K81))</x:f>
      </x:c>
      <x:c r="X81" s="47" t="str">
        <x:f>IF(COUNTA(S81:V81)=0,"",SUM(S81:V81))</x:f>
      </x:c>
      <x:c r="Y81" s="47" t="str">
        <x:f>IF(W81="","",W81-IF(X81="",0,X81))</x:f>
      </x:c>
      <x:c r="Z81" s="47" t="str">
        <x:f>IF(OR(K81="",L81="",N81=""),"",ABS(L81-N81)*K81)</x:f>
      </x:c>
      <x:c r="AA81" s="52" t="str">
        <x:f>IFERROR(Y81/Z81,"")</x:f>
      </x:c>
      <x:c r="AB81" s="26"/>
      <x:c r="AC81" s="26"/>
      <x:c r="AD81" s="55"/>
    </x:row>
    <x:row r="82">
      <x:c r="A82" s="26"/>
      <x:c r="B82" s="26"/>
      <x:c r="C82" s="35"/>
      <x:c r="D82" s="39"/>
      <x:c r="E82" s="39"/>
      <x:c r="F82" s="26"/>
      <x:c r="G82" s="26"/>
      <x:c r="H82" s="26"/>
      <x:c r="I82" s="26"/>
      <x:c r="J82" s="26"/>
      <x:c r="K82" s="43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7" t="str">
        <x:f>IF(OR(J82="",K82="",L82="",M82=""),"",IF(J82="Long",(M82-L82)*K82,(L82-M82)*K82))</x:f>
      </x:c>
      <x:c r="X82" s="47" t="str">
        <x:f>IF(COUNTA(S82:V82)=0,"",SUM(S82:V82))</x:f>
      </x:c>
      <x:c r="Y82" s="47" t="str">
        <x:f>IF(W82="","",W82-IF(X82="",0,X82))</x:f>
      </x:c>
      <x:c r="Z82" s="47" t="str">
        <x:f>IF(OR(K82="",L82="",N82=""),"",ABS(L82-N82)*K82)</x:f>
      </x:c>
      <x:c r="AA82" s="52" t="str">
        <x:f>IFERROR(Y82/Z82,"")</x:f>
      </x:c>
      <x:c r="AB82" s="26"/>
      <x:c r="AC82" s="26"/>
      <x:c r="AD82" s="55"/>
    </x:row>
    <x:row r="83">
      <x:c r="A83" s="26"/>
      <x:c r="B83" s="26"/>
      <x:c r="C83" s="35"/>
      <x:c r="D83" s="39"/>
      <x:c r="E83" s="39"/>
      <x:c r="F83" s="26"/>
      <x:c r="G83" s="26"/>
      <x:c r="H83" s="26"/>
      <x:c r="I83" s="26"/>
      <x:c r="J83" s="26"/>
      <x:c r="K83" s="43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7" t="str">
        <x:f>IF(OR(J83="",K83="",L83="",M83=""),"",IF(J83="Long",(M83-L83)*K83,(L83-M83)*K83))</x:f>
      </x:c>
      <x:c r="X83" s="47" t="str">
        <x:f>IF(COUNTA(S83:V83)=0,"",SUM(S83:V83))</x:f>
      </x:c>
      <x:c r="Y83" s="47" t="str">
        <x:f>IF(W83="","",W83-IF(X83="",0,X83))</x:f>
      </x:c>
      <x:c r="Z83" s="47" t="str">
        <x:f>IF(OR(K83="",L83="",N83=""),"",ABS(L83-N83)*K83)</x:f>
      </x:c>
      <x:c r="AA83" s="52" t="str">
        <x:f>IFERROR(Y83/Z83,"")</x:f>
      </x:c>
      <x:c r="AB83" s="26"/>
      <x:c r="AC83" s="26"/>
      <x:c r="AD83" s="55"/>
    </x:row>
    <x:row r="84">
      <x:c r="A84" s="26"/>
      <x:c r="B84" s="26"/>
      <x:c r="C84" s="35"/>
      <x:c r="D84" s="39"/>
      <x:c r="E84" s="39"/>
      <x:c r="F84" s="26"/>
      <x:c r="G84" s="26"/>
      <x:c r="H84" s="26"/>
      <x:c r="I84" s="26"/>
      <x:c r="J84" s="26"/>
      <x:c r="K84" s="43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7" t="str">
        <x:f>IF(OR(J84="",K84="",L84="",M84=""),"",IF(J84="Long",(M84-L84)*K84,(L84-M84)*K84))</x:f>
      </x:c>
      <x:c r="X84" s="47" t="str">
        <x:f>IF(COUNTA(S84:V84)=0,"",SUM(S84:V84))</x:f>
      </x:c>
      <x:c r="Y84" s="47" t="str">
        <x:f>IF(W84="","",W84-IF(X84="",0,X84))</x:f>
      </x:c>
      <x:c r="Z84" s="47" t="str">
        <x:f>IF(OR(K84="",L84="",N84=""),"",ABS(L84-N84)*K84)</x:f>
      </x:c>
      <x:c r="AA84" s="52" t="str">
        <x:f>IFERROR(Y84/Z84,"")</x:f>
      </x:c>
      <x:c r="AB84" s="26"/>
      <x:c r="AC84" s="26"/>
      <x:c r="AD84" s="55"/>
    </x:row>
    <x:row r="85">
      <x:c r="A85" s="26"/>
      <x:c r="B85" s="26"/>
      <x:c r="C85" s="35"/>
      <x:c r="D85" s="39"/>
      <x:c r="E85" s="39"/>
      <x:c r="F85" s="26"/>
      <x:c r="G85" s="26"/>
      <x:c r="H85" s="26"/>
      <x:c r="I85" s="26"/>
      <x:c r="J85" s="26"/>
      <x:c r="K85" s="43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7" t="str">
        <x:f>IF(OR(J85="",K85="",L85="",M85=""),"",IF(J85="Long",(M85-L85)*K85,(L85-M85)*K85))</x:f>
      </x:c>
      <x:c r="X85" s="47" t="str">
        <x:f>IF(COUNTA(S85:V85)=0,"",SUM(S85:V85))</x:f>
      </x:c>
      <x:c r="Y85" s="47" t="str">
        <x:f>IF(W85="","",W85-IF(X85="",0,X85))</x:f>
      </x:c>
      <x:c r="Z85" s="47" t="str">
        <x:f>IF(OR(K85="",L85="",N85=""),"",ABS(L85-N85)*K85)</x:f>
      </x:c>
      <x:c r="AA85" s="52" t="str">
        <x:f>IFERROR(Y85/Z85,"")</x:f>
      </x:c>
      <x:c r="AB85" s="26"/>
      <x:c r="AC85" s="26"/>
      <x:c r="AD85" s="55"/>
    </x:row>
    <x:row r="86">
      <x:c r="A86" s="26"/>
      <x:c r="B86" s="26"/>
      <x:c r="C86" s="35"/>
      <x:c r="D86" s="39"/>
      <x:c r="E86" s="39"/>
      <x:c r="F86" s="26"/>
      <x:c r="G86" s="26"/>
      <x:c r="H86" s="26"/>
      <x:c r="I86" s="26"/>
      <x:c r="J86" s="26"/>
      <x:c r="K86" s="43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7" t="str">
        <x:f>IF(OR(J86="",K86="",L86="",M86=""),"",IF(J86="Long",(M86-L86)*K86,(L86-M86)*K86))</x:f>
      </x:c>
      <x:c r="X86" s="47" t="str">
        <x:f>IF(COUNTA(S86:V86)=0,"",SUM(S86:V86))</x:f>
      </x:c>
      <x:c r="Y86" s="47" t="str">
        <x:f>IF(W86="","",W86-IF(X86="",0,X86))</x:f>
      </x:c>
      <x:c r="Z86" s="47" t="str">
        <x:f>IF(OR(K86="",L86="",N86=""),"",ABS(L86-N86)*K86)</x:f>
      </x:c>
      <x:c r="AA86" s="52" t="str">
        <x:f>IFERROR(Y86/Z86,"")</x:f>
      </x:c>
      <x:c r="AB86" s="26"/>
      <x:c r="AC86" s="26"/>
      <x:c r="AD86" s="55"/>
    </x:row>
    <x:row r="87">
      <x:c r="A87" s="26"/>
      <x:c r="B87" s="26"/>
      <x:c r="C87" s="35"/>
      <x:c r="D87" s="39"/>
      <x:c r="E87" s="39"/>
      <x:c r="F87" s="26"/>
      <x:c r="G87" s="26"/>
      <x:c r="H87" s="26"/>
      <x:c r="I87" s="26"/>
      <x:c r="J87" s="26"/>
      <x:c r="K87" s="43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7" t="str">
        <x:f>IF(OR(J87="",K87="",L87="",M87=""),"",IF(J87="Long",(M87-L87)*K87,(L87-M87)*K87))</x:f>
      </x:c>
      <x:c r="X87" s="47" t="str">
        <x:f>IF(COUNTA(S87:V87)=0,"",SUM(S87:V87))</x:f>
      </x:c>
      <x:c r="Y87" s="47" t="str">
        <x:f>IF(W87="","",W87-IF(X87="",0,X87))</x:f>
      </x:c>
      <x:c r="Z87" s="47" t="str">
        <x:f>IF(OR(K87="",L87="",N87=""),"",ABS(L87-N87)*K87)</x:f>
      </x:c>
      <x:c r="AA87" s="52" t="str">
        <x:f>IFERROR(Y87/Z87,"")</x:f>
      </x:c>
      <x:c r="AB87" s="26"/>
      <x:c r="AC87" s="26"/>
      <x:c r="AD87" s="55"/>
    </x:row>
    <x:row r="88">
      <x:c r="A88" s="26"/>
      <x:c r="B88" s="26"/>
      <x:c r="C88" s="35"/>
      <x:c r="D88" s="39"/>
      <x:c r="E88" s="39"/>
      <x:c r="F88" s="26"/>
      <x:c r="G88" s="26"/>
      <x:c r="H88" s="26"/>
      <x:c r="I88" s="26"/>
      <x:c r="J88" s="26"/>
      <x:c r="K88" s="43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7" t="str">
        <x:f>IF(OR(J88="",K88="",L88="",M88=""),"",IF(J88="Long",(M88-L88)*K88,(L88-M88)*K88))</x:f>
      </x:c>
      <x:c r="X88" s="47" t="str">
        <x:f>IF(COUNTA(S88:V88)=0,"",SUM(S88:V88))</x:f>
      </x:c>
      <x:c r="Y88" s="47" t="str">
        <x:f>IF(W88="","",W88-IF(X88="",0,X88))</x:f>
      </x:c>
      <x:c r="Z88" s="47" t="str">
        <x:f>IF(OR(K88="",L88="",N88=""),"",ABS(L88-N88)*K88)</x:f>
      </x:c>
      <x:c r="AA88" s="52" t="str">
        <x:f>IFERROR(Y88/Z88,"")</x:f>
      </x:c>
      <x:c r="AB88" s="26"/>
      <x:c r="AC88" s="26"/>
      <x:c r="AD88" s="55"/>
    </x:row>
    <x:row r="89">
      <x:c r="A89" s="26"/>
      <x:c r="B89" s="26"/>
      <x:c r="C89" s="35"/>
      <x:c r="D89" s="39"/>
      <x:c r="E89" s="39"/>
      <x:c r="F89" s="26"/>
      <x:c r="G89" s="26"/>
      <x:c r="H89" s="26"/>
      <x:c r="I89" s="26"/>
      <x:c r="J89" s="26"/>
      <x:c r="K89" s="43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7" t="str">
        <x:f>IF(OR(J89="",K89="",L89="",M89=""),"",IF(J89="Long",(M89-L89)*K89,(L89-M89)*K89))</x:f>
      </x:c>
      <x:c r="X89" s="47" t="str">
        <x:f>IF(COUNTA(S89:V89)=0,"",SUM(S89:V89))</x:f>
      </x:c>
      <x:c r="Y89" s="47" t="str">
        <x:f>IF(W89="","",W89-IF(X89="",0,X89))</x:f>
      </x:c>
      <x:c r="Z89" s="47" t="str">
        <x:f>IF(OR(K89="",L89="",N89=""),"",ABS(L89-N89)*K89)</x:f>
      </x:c>
      <x:c r="AA89" s="52" t="str">
        <x:f>IFERROR(Y89/Z89,"")</x:f>
      </x:c>
      <x:c r="AB89" s="26"/>
      <x:c r="AC89" s="26"/>
      <x:c r="AD89" s="55"/>
    </x:row>
    <x:row r="90">
      <x:c r="A90" s="26"/>
      <x:c r="B90" s="26"/>
      <x:c r="C90" s="35"/>
      <x:c r="D90" s="39"/>
      <x:c r="E90" s="39"/>
      <x:c r="F90" s="26"/>
      <x:c r="G90" s="26"/>
      <x:c r="H90" s="26"/>
      <x:c r="I90" s="26"/>
      <x:c r="J90" s="26"/>
      <x:c r="K90" s="43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7" t="str">
        <x:f>IF(OR(J90="",K90="",L90="",M90=""),"",IF(J90="Long",(M90-L90)*K90,(L90-M90)*K90))</x:f>
      </x:c>
      <x:c r="X90" s="47" t="str">
        <x:f>IF(COUNTA(S90:V90)=0,"",SUM(S90:V90))</x:f>
      </x:c>
      <x:c r="Y90" s="47" t="str">
        <x:f>IF(W90="","",W90-IF(X90="",0,X90))</x:f>
      </x:c>
      <x:c r="Z90" s="47" t="str">
        <x:f>IF(OR(K90="",L90="",N90=""),"",ABS(L90-N90)*K90)</x:f>
      </x:c>
      <x:c r="AA90" s="52" t="str">
        <x:f>IFERROR(Y90/Z90,"")</x:f>
      </x:c>
      <x:c r="AB90" s="26"/>
      <x:c r="AC90" s="26"/>
      <x:c r="AD90" s="55"/>
    </x:row>
    <x:row r="91">
      <x:c r="A91" s="26"/>
      <x:c r="B91" s="26"/>
      <x:c r="C91" s="35"/>
      <x:c r="D91" s="39"/>
      <x:c r="E91" s="39"/>
      <x:c r="F91" s="26"/>
      <x:c r="G91" s="26"/>
      <x:c r="H91" s="26"/>
      <x:c r="I91" s="26"/>
      <x:c r="J91" s="26"/>
      <x:c r="K91" s="43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7" t="str">
        <x:f>IF(OR(J91="",K91="",L91="",M91=""),"",IF(J91="Long",(M91-L91)*K91,(L91-M91)*K91))</x:f>
      </x:c>
      <x:c r="X91" s="47" t="str">
        <x:f>IF(COUNTA(S91:V91)=0,"",SUM(S91:V91))</x:f>
      </x:c>
      <x:c r="Y91" s="47" t="str">
        <x:f>IF(W91="","",W91-IF(X91="",0,X91))</x:f>
      </x:c>
      <x:c r="Z91" s="47" t="str">
        <x:f>IF(OR(K91="",L91="",N91=""),"",ABS(L91-N91)*K91)</x:f>
      </x:c>
      <x:c r="AA91" s="52" t="str">
        <x:f>IFERROR(Y91/Z91,"")</x:f>
      </x:c>
      <x:c r="AB91" s="26"/>
      <x:c r="AC91" s="26"/>
      <x:c r="AD91" s="55"/>
    </x:row>
    <x:row r="92">
      <x:c r="A92" s="26"/>
      <x:c r="B92" s="26"/>
      <x:c r="C92" s="35"/>
      <x:c r="D92" s="39"/>
      <x:c r="E92" s="39"/>
      <x:c r="F92" s="26"/>
      <x:c r="G92" s="26"/>
      <x:c r="H92" s="26"/>
      <x:c r="I92" s="26"/>
      <x:c r="J92" s="26"/>
      <x:c r="K92" s="43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7" t="str">
        <x:f>IF(OR(J92="",K92="",L92="",M92=""),"",IF(J92="Long",(M92-L92)*K92,(L92-M92)*K92))</x:f>
      </x:c>
      <x:c r="X92" s="47" t="str">
        <x:f>IF(COUNTA(S92:V92)=0,"",SUM(S92:V92))</x:f>
      </x:c>
      <x:c r="Y92" s="47" t="str">
        <x:f>IF(W92="","",W92-IF(X92="",0,X92))</x:f>
      </x:c>
      <x:c r="Z92" s="47" t="str">
        <x:f>IF(OR(K92="",L92="",N92=""),"",ABS(L92-N92)*K92)</x:f>
      </x:c>
      <x:c r="AA92" s="52" t="str">
        <x:f>IFERROR(Y92/Z92,"")</x:f>
      </x:c>
      <x:c r="AB92" s="26"/>
      <x:c r="AC92" s="26"/>
      <x:c r="AD92" s="55"/>
    </x:row>
    <x:row r="93">
      <x:c r="A93" s="26"/>
      <x:c r="B93" s="26"/>
      <x:c r="C93" s="35"/>
      <x:c r="D93" s="39"/>
      <x:c r="E93" s="39"/>
      <x:c r="F93" s="26"/>
      <x:c r="G93" s="26"/>
      <x:c r="H93" s="26"/>
      <x:c r="I93" s="26"/>
      <x:c r="J93" s="26"/>
      <x:c r="K93" s="43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7" t="str">
        <x:f>IF(OR(J93="",K93="",L93="",M93=""),"",IF(J93="Long",(M93-L93)*K93,(L93-M93)*K93))</x:f>
      </x:c>
      <x:c r="X93" s="47" t="str">
        <x:f>IF(COUNTA(S93:V93)=0,"",SUM(S93:V93))</x:f>
      </x:c>
      <x:c r="Y93" s="47" t="str">
        <x:f>IF(W93="","",W93-IF(X93="",0,X93))</x:f>
      </x:c>
      <x:c r="Z93" s="47" t="str">
        <x:f>IF(OR(K93="",L93="",N93=""),"",ABS(L93-N93)*K93)</x:f>
      </x:c>
      <x:c r="AA93" s="52" t="str">
        <x:f>IFERROR(Y93/Z93,"")</x:f>
      </x:c>
      <x:c r="AB93" s="26"/>
      <x:c r="AC93" s="26"/>
      <x:c r="AD93" s="55"/>
    </x:row>
    <x:row r="94">
      <x:c r="A94" s="26"/>
      <x:c r="B94" s="26"/>
      <x:c r="C94" s="35"/>
      <x:c r="D94" s="39"/>
      <x:c r="E94" s="39"/>
      <x:c r="F94" s="26"/>
      <x:c r="G94" s="26"/>
      <x:c r="H94" s="26"/>
      <x:c r="I94" s="26"/>
      <x:c r="J94" s="26"/>
      <x:c r="K94" s="43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7" t="str">
        <x:f>IF(OR(J94="",K94="",L94="",M94=""),"",IF(J94="Long",(M94-L94)*K94,(L94-M94)*K94))</x:f>
      </x:c>
      <x:c r="X94" s="47" t="str">
        <x:f>IF(COUNTA(S94:V94)=0,"",SUM(S94:V94))</x:f>
      </x:c>
      <x:c r="Y94" s="47" t="str">
        <x:f>IF(W94="","",W94-IF(X94="",0,X94))</x:f>
      </x:c>
      <x:c r="Z94" s="47" t="str">
        <x:f>IF(OR(K94="",L94="",N94=""),"",ABS(L94-N94)*K94)</x:f>
      </x:c>
      <x:c r="AA94" s="52" t="str">
        <x:f>IFERROR(Y94/Z94,"")</x:f>
      </x:c>
      <x:c r="AB94" s="26"/>
      <x:c r="AC94" s="26"/>
      <x:c r="AD94" s="55"/>
    </x:row>
    <x:row r="95">
      <x:c r="A95" s="26"/>
      <x:c r="B95" s="26"/>
      <x:c r="C95" s="35"/>
      <x:c r="D95" s="39"/>
      <x:c r="E95" s="39"/>
      <x:c r="F95" s="26"/>
      <x:c r="G95" s="26"/>
      <x:c r="H95" s="26"/>
      <x:c r="I95" s="26"/>
      <x:c r="J95" s="26"/>
      <x:c r="K95" s="43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7" t="str">
        <x:f>IF(OR(J95="",K95="",L95="",M95=""),"",IF(J95="Long",(M95-L95)*K95,(L95-M95)*K95))</x:f>
      </x:c>
      <x:c r="X95" s="47" t="str">
        <x:f>IF(COUNTA(S95:V95)=0,"",SUM(S95:V95))</x:f>
      </x:c>
      <x:c r="Y95" s="47" t="str">
        <x:f>IF(W95="","",W95-IF(X95="",0,X95))</x:f>
      </x:c>
      <x:c r="Z95" s="47" t="str">
        <x:f>IF(OR(K95="",L95="",N95=""),"",ABS(L95-N95)*K95)</x:f>
      </x:c>
      <x:c r="AA95" s="52" t="str">
        <x:f>IFERROR(Y95/Z95,"")</x:f>
      </x:c>
      <x:c r="AB95" s="26"/>
      <x:c r="AC95" s="26"/>
      <x:c r="AD95" s="55"/>
    </x:row>
    <x:row r="96">
      <x:c r="A96" s="26"/>
      <x:c r="B96" s="26"/>
      <x:c r="C96" s="35"/>
      <x:c r="D96" s="39"/>
      <x:c r="E96" s="39"/>
      <x:c r="F96" s="26"/>
      <x:c r="G96" s="26"/>
      <x:c r="H96" s="26"/>
      <x:c r="I96" s="26"/>
      <x:c r="J96" s="26"/>
      <x:c r="K96" s="43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7" t="str">
        <x:f>IF(OR(J96="",K96="",L96="",M96=""),"",IF(J96="Long",(M96-L96)*K96,(L96-M96)*K96))</x:f>
      </x:c>
      <x:c r="X96" s="47" t="str">
        <x:f>IF(COUNTA(S96:V96)=0,"",SUM(S96:V96))</x:f>
      </x:c>
      <x:c r="Y96" s="47" t="str">
        <x:f>IF(W96="","",W96-IF(X96="",0,X96))</x:f>
      </x:c>
      <x:c r="Z96" s="47" t="str">
        <x:f>IF(OR(K96="",L96="",N96=""),"",ABS(L96-N96)*K96)</x:f>
      </x:c>
      <x:c r="AA96" s="52" t="str">
        <x:f>IFERROR(Y96/Z96,"")</x:f>
      </x:c>
      <x:c r="AB96" s="26"/>
      <x:c r="AC96" s="26"/>
      <x:c r="AD96" s="55"/>
    </x:row>
    <x:row r="97">
      <x:c r="A97" s="26"/>
      <x:c r="B97" s="26"/>
      <x:c r="C97" s="35"/>
      <x:c r="D97" s="39"/>
      <x:c r="E97" s="39"/>
      <x:c r="F97" s="26"/>
      <x:c r="G97" s="26"/>
      <x:c r="H97" s="26"/>
      <x:c r="I97" s="26"/>
      <x:c r="J97" s="26"/>
      <x:c r="K97" s="43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7" t="str">
        <x:f>IF(OR(J97="",K97="",L97="",M97=""),"",IF(J97="Long",(M97-L97)*K97,(L97-M97)*K97))</x:f>
      </x:c>
      <x:c r="X97" s="47" t="str">
        <x:f>IF(COUNTA(S97:V97)=0,"",SUM(S97:V97))</x:f>
      </x:c>
      <x:c r="Y97" s="47" t="str">
        <x:f>IF(W97="","",W97-IF(X97="",0,X97))</x:f>
      </x:c>
      <x:c r="Z97" s="47" t="str">
        <x:f>IF(OR(K97="",L97="",N97=""),"",ABS(L97-N97)*K97)</x:f>
      </x:c>
      <x:c r="AA97" s="52" t="str">
        <x:f>IFERROR(Y97/Z97,"")</x:f>
      </x:c>
      <x:c r="AB97" s="26"/>
      <x:c r="AC97" s="26"/>
      <x:c r="AD97" s="55"/>
    </x:row>
    <x:row r="98">
      <x:c r="A98" s="26"/>
      <x:c r="B98" s="26"/>
      <x:c r="C98" s="35"/>
      <x:c r="D98" s="39"/>
      <x:c r="E98" s="39"/>
      <x:c r="F98" s="26"/>
      <x:c r="G98" s="26"/>
      <x:c r="H98" s="26"/>
      <x:c r="I98" s="26"/>
      <x:c r="J98" s="26"/>
      <x:c r="K98" s="43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7" t="str">
        <x:f>IF(OR(J98="",K98="",L98="",M98=""),"",IF(J98="Long",(M98-L98)*K98,(L98-M98)*K98))</x:f>
      </x:c>
      <x:c r="X98" s="47" t="str">
        <x:f>IF(COUNTA(S98:V98)=0,"",SUM(S98:V98))</x:f>
      </x:c>
      <x:c r="Y98" s="47" t="str">
        <x:f>IF(W98="","",W98-IF(X98="",0,X98))</x:f>
      </x:c>
      <x:c r="Z98" s="47" t="str">
        <x:f>IF(OR(K98="",L98="",N98=""),"",ABS(L98-N98)*K98)</x:f>
      </x:c>
      <x:c r="AA98" s="52" t="str">
        <x:f>IFERROR(Y98/Z98,"")</x:f>
      </x:c>
      <x:c r="AB98" s="26"/>
      <x:c r="AC98" s="26"/>
      <x:c r="AD98" s="55"/>
    </x:row>
    <x:row r="99">
      <x:c r="A99" s="26"/>
      <x:c r="B99" s="26"/>
      <x:c r="C99" s="35"/>
      <x:c r="D99" s="39"/>
      <x:c r="E99" s="39"/>
      <x:c r="F99" s="26"/>
      <x:c r="G99" s="26"/>
      <x:c r="H99" s="26"/>
      <x:c r="I99" s="26"/>
      <x:c r="J99" s="26"/>
      <x:c r="K99" s="43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7" t="str">
        <x:f>IF(OR(J99="",K99="",L99="",M99=""),"",IF(J99="Long",(M99-L99)*K99,(L99-M99)*K99))</x:f>
      </x:c>
      <x:c r="X99" s="47" t="str">
        <x:f>IF(COUNTA(S99:V99)=0,"",SUM(S99:V99))</x:f>
      </x:c>
      <x:c r="Y99" s="47" t="str">
        <x:f>IF(W99="","",W99-IF(X99="",0,X99))</x:f>
      </x:c>
      <x:c r="Z99" s="47" t="str">
        <x:f>IF(OR(K99="",L99="",N99=""),"",ABS(L99-N99)*K99)</x:f>
      </x:c>
      <x:c r="AA99" s="52" t="str">
        <x:f>IFERROR(Y99/Z99,"")</x:f>
      </x:c>
      <x:c r="AB99" s="26"/>
      <x:c r="AC99" s="26"/>
      <x:c r="AD99" s="55"/>
    </x:row>
    <x:row r="100">
      <x:c r="A100" s="26"/>
      <x:c r="B100" s="26"/>
      <x:c r="C100" s="35"/>
      <x:c r="D100" s="39"/>
      <x:c r="E100" s="39"/>
      <x:c r="F100" s="26"/>
      <x:c r="G100" s="26"/>
      <x:c r="H100" s="26"/>
      <x:c r="I100" s="26"/>
      <x:c r="J100" s="26"/>
      <x:c r="K100" s="43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7" t="str">
        <x:f>IF(OR(J100="",K100="",L100="",M100=""),"",IF(J100="Long",(M100-L100)*K100,(L100-M100)*K100))</x:f>
      </x:c>
      <x:c r="X100" s="47" t="str">
        <x:f>IF(COUNTA(S100:V100)=0,"",SUM(S100:V100))</x:f>
      </x:c>
      <x:c r="Y100" s="47" t="str">
        <x:f>IF(W100="","",W100-IF(X100="",0,X100))</x:f>
      </x:c>
      <x:c r="Z100" s="47" t="str">
        <x:f>IF(OR(K100="",L100="",N100=""),"",ABS(L100-N100)*K100)</x:f>
      </x:c>
      <x:c r="AA100" s="52" t="str">
        <x:f>IFERROR(Y100/Z100,"")</x:f>
      </x:c>
      <x:c r="AB100" s="26"/>
      <x:c r="AC100" s="26"/>
      <x:c r="AD100" s="55"/>
    </x:row>
    <x:row r="101">
      <x:c r="A101" s="26"/>
      <x:c r="B101" s="26"/>
      <x:c r="C101" s="35"/>
      <x:c r="D101" s="39"/>
      <x:c r="E101" s="39"/>
      <x:c r="F101" s="26"/>
      <x:c r="G101" s="26"/>
      <x:c r="H101" s="26"/>
      <x:c r="I101" s="26"/>
      <x:c r="J101" s="26"/>
      <x:c r="K101" s="43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7" t="str">
        <x:f>IF(OR(J101="",K101="",L101="",M101=""),"",IF(J101="Long",(M101-L101)*K101,(L101-M101)*K101))</x:f>
      </x:c>
      <x:c r="X101" s="47" t="str">
        <x:f>IF(COUNTA(S101:V101)=0,"",SUM(S101:V101))</x:f>
      </x:c>
      <x:c r="Y101" s="47" t="str">
        <x:f>IF(W101="","",W101-IF(X101="",0,X101))</x:f>
      </x:c>
      <x:c r="Z101" s="47" t="str">
        <x:f>IF(OR(K101="",L101="",N101=""),"",ABS(L101-N101)*K101)</x:f>
      </x:c>
      <x:c r="AA101" s="52" t="str">
        <x:f>IFERROR(Y101/Z101,"")</x:f>
      </x:c>
      <x:c r="AB101" s="26"/>
      <x:c r="AC101" s="26"/>
      <x:c r="AD101" s="55"/>
    </x:row>
    <x:row r="102">
      <x:c r="A102" s="26"/>
      <x:c r="B102" s="26"/>
      <x:c r="C102" s="35"/>
      <x:c r="D102" s="39"/>
      <x:c r="E102" s="39"/>
      <x:c r="F102" s="26"/>
      <x:c r="G102" s="26"/>
      <x:c r="H102" s="26"/>
      <x:c r="I102" s="26"/>
      <x:c r="J102" s="26"/>
      <x:c r="K102" s="43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7" t="str">
        <x:f>IF(OR(J102="",K102="",L102="",M102=""),"",IF(J102="Long",(M102-L102)*K102,(L102-M102)*K102))</x:f>
      </x:c>
      <x:c r="X102" s="47" t="str">
        <x:f>IF(COUNTA(S102:V102)=0,"",SUM(S102:V102))</x:f>
      </x:c>
      <x:c r="Y102" s="47" t="str">
        <x:f>IF(W102="","",W102-IF(X102="",0,X102))</x:f>
      </x:c>
      <x:c r="Z102" s="47" t="str">
        <x:f>IF(OR(K102="",L102="",N102=""),"",ABS(L102-N102)*K102)</x:f>
      </x:c>
      <x:c r="AA102" s="52" t="str">
        <x:f>IFERROR(Y102/Z102,"")</x:f>
      </x:c>
      <x:c r="AB102" s="26"/>
      <x:c r="AC102" s="26"/>
      <x:c r="AD102" s="55"/>
    </x:row>
    <x:row r="103">
      <x:c r="A103" s="26"/>
      <x:c r="B103" s="26"/>
      <x:c r="C103" s="35"/>
      <x:c r="D103" s="39"/>
      <x:c r="E103" s="39"/>
      <x:c r="F103" s="26"/>
      <x:c r="G103" s="26"/>
      <x:c r="H103" s="26"/>
      <x:c r="I103" s="26"/>
      <x:c r="J103" s="26"/>
      <x:c r="K103" s="43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7" t="str">
        <x:f>IF(OR(J103="",K103="",L103="",M103=""),"",IF(J103="Long",(M103-L103)*K103,(L103-M103)*K103))</x:f>
      </x:c>
      <x:c r="X103" s="47" t="str">
        <x:f>IF(COUNTA(S103:V103)=0,"",SUM(S103:V103))</x:f>
      </x:c>
      <x:c r="Y103" s="47" t="str">
        <x:f>IF(W103="","",W103-IF(X103="",0,X103))</x:f>
      </x:c>
      <x:c r="Z103" s="47" t="str">
        <x:f>IF(OR(K103="",L103="",N103=""),"",ABS(L103-N103)*K103)</x:f>
      </x:c>
      <x:c r="AA103" s="52" t="str">
        <x:f>IFERROR(Y103/Z103,"")</x:f>
      </x:c>
      <x:c r="AB103" s="26"/>
      <x:c r="AC103" s="26"/>
      <x:c r="AD103" s="55"/>
    </x:row>
    <x:row r="104">
      <x:c r="A104" s="26"/>
      <x:c r="B104" s="26"/>
      <x:c r="C104" s="35"/>
      <x:c r="D104" s="39"/>
      <x:c r="E104" s="39"/>
      <x:c r="F104" s="26"/>
      <x:c r="G104" s="26"/>
      <x:c r="H104" s="26"/>
      <x:c r="I104" s="26"/>
      <x:c r="J104" s="26"/>
      <x:c r="K104" s="43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7" t="str">
        <x:f>IF(OR(J104="",K104="",L104="",M104=""),"",IF(J104="Long",(M104-L104)*K104,(L104-M104)*K104))</x:f>
      </x:c>
      <x:c r="X104" s="47" t="str">
        <x:f>IF(COUNTA(S104:V104)=0,"",SUM(S104:V104))</x:f>
      </x:c>
      <x:c r="Y104" s="47" t="str">
        <x:f>IF(W104="","",W104-IF(X104="",0,X104))</x:f>
      </x:c>
      <x:c r="Z104" s="47" t="str">
        <x:f>IF(OR(K104="",L104="",N104=""),"",ABS(L104-N104)*K104)</x:f>
      </x:c>
      <x:c r="AA104" s="52" t="str">
        <x:f>IFERROR(Y104/Z104,"")</x:f>
      </x:c>
      <x:c r="AB104" s="26"/>
      <x:c r="AC104" s="26"/>
      <x:c r="AD104" s="55"/>
    </x:row>
    <x:row r="105">
      <x:c r="A105" s="26"/>
      <x:c r="B105" s="26"/>
      <x:c r="C105" s="35"/>
      <x:c r="D105" s="39"/>
      <x:c r="E105" s="39"/>
      <x:c r="F105" s="26"/>
      <x:c r="G105" s="26"/>
      <x:c r="H105" s="26"/>
      <x:c r="I105" s="26"/>
      <x:c r="J105" s="26"/>
      <x:c r="K105" s="43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7" t="str">
        <x:f>IF(OR(J105="",K105="",L105="",M105=""),"",IF(J105="Long",(M105-L105)*K105,(L105-M105)*K105))</x:f>
      </x:c>
      <x:c r="X105" s="47" t="str">
        <x:f>IF(COUNTA(S105:V105)=0,"",SUM(S105:V105))</x:f>
      </x:c>
      <x:c r="Y105" s="47" t="str">
        <x:f>IF(W105="","",W105-IF(X105="",0,X105))</x:f>
      </x:c>
      <x:c r="Z105" s="47" t="str">
        <x:f>IF(OR(K105="",L105="",N105=""),"",ABS(L105-N105)*K105)</x:f>
      </x:c>
      <x:c r="AA105" s="52" t="str">
        <x:f>IFERROR(Y105/Z105,"")</x:f>
      </x:c>
      <x:c r="AB105" s="26"/>
      <x:c r="AC105" s="26"/>
      <x:c r="AD105" s="55"/>
    </x:row>
    <x:row r="106">
      <x:c r="A106" s="26"/>
      <x:c r="B106" s="26"/>
      <x:c r="C106" s="35"/>
      <x:c r="D106" s="39"/>
      <x:c r="E106" s="39"/>
      <x:c r="F106" s="26"/>
      <x:c r="G106" s="26"/>
      <x:c r="H106" s="26"/>
      <x:c r="I106" s="26"/>
      <x:c r="J106" s="26"/>
      <x:c r="K106" s="43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7" t="str">
        <x:f>IF(OR(J106="",K106="",L106="",M106=""),"",IF(J106="Long",(M106-L106)*K106,(L106-M106)*K106))</x:f>
      </x:c>
      <x:c r="X106" s="47" t="str">
        <x:f>IF(COUNTA(S106:V106)=0,"",SUM(S106:V106))</x:f>
      </x:c>
      <x:c r="Y106" s="47" t="str">
        <x:f>IF(W106="","",W106-IF(X106="",0,X106))</x:f>
      </x:c>
      <x:c r="Z106" s="47" t="str">
        <x:f>IF(OR(K106="",L106="",N106=""),"",ABS(L106-N106)*K106)</x:f>
      </x:c>
      <x:c r="AA106" s="52" t="str">
        <x:f>IFERROR(Y106/Z106,"")</x:f>
      </x:c>
      <x:c r="AB106" s="26"/>
      <x:c r="AC106" s="26"/>
      <x:c r="AD106" s="55"/>
    </x:row>
    <x:row r="107">
      <x:c r="A107" s="26"/>
      <x:c r="B107" s="26"/>
      <x:c r="C107" s="35"/>
      <x:c r="D107" s="39"/>
      <x:c r="E107" s="39"/>
      <x:c r="F107" s="26"/>
      <x:c r="G107" s="26"/>
      <x:c r="H107" s="26"/>
      <x:c r="I107" s="26"/>
      <x:c r="J107" s="26"/>
      <x:c r="K107" s="43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7" t="str">
        <x:f>IF(OR(J107="",K107="",L107="",M107=""),"",IF(J107="Long",(M107-L107)*K107,(L107-M107)*K107))</x:f>
      </x:c>
      <x:c r="X107" s="47" t="str">
        <x:f>IF(COUNTA(S107:V107)=0,"",SUM(S107:V107))</x:f>
      </x:c>
      <x:c r="Y107" s="47" t="str">
        <x:f>IF(W107="","",W107-IF(X107="",0,X107))</x:f>
      </x:c>
      <x:c r="Z107" s="47" t="str">
        <x:f>IF(OR(K107="",L107="",N107=""),"",ABS(L107-N107)*K107)</x:f>
      </x:c>
      <x:c r="AA107" s="52" t="str">
        <x:f>IFERROR(Y107/Z107,"")</x:f>
      </x:c>
      <x:c r="AB107" s="26"/>
      <x:c r="AC107" s="26"/>
      <x:c r="AD107" s="55"/>
    </x:row>
    <x:row r="108">
      <x:c r="A108" s="26"/>
      <x:c r="B108" s="26"/>
      <x:c r="C108" s="35"/>
      <x:c r="D108" s="39"/>
      <x:c r="E108" s="39"/>
      <x:c r="F108" s="26"/>
      <x:c r="G108" s="26"/>
      <x:c r="H108" s="26"/>
      <x:c r="I108" s="26"/>
      <x:c r="J108" s="26"/>
      <x:c r="K108" s="43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7" t="str">
        <x:f>IF(OR(J108="",K108="",L108="",M108=""),"",IF(J108="Long",(M108-L108)*K108,(L108-M108)*K108))</x:f>
      </x:c>
      <x:c r="X108" s="47" t="str">
        <x:f>IF(COUNTA(S108:V108)=0,"",SUM(S108:V108))</x:f>
      </x:c>
      <x:c r="Y108" s="47" t="str">
        <x:f>IF(W108="","",W108-IF(X108="",0,X108))</x:f>
      </x:c>
      <x:c r="Z108" s="47" t="str">
        <x:f>IF(OR(K108="",L108="",N108=""),"",ABS(L108-N108)*K108)</x:f>
      </x:c>
      <x:c r="AA108" s="52" t="str">
        <x:f>IFERROR(Y108/Z108,"")</x:f>
      </x:c>
      <x:c r="AB108" s="26"/>
      <x:c r="AC108" s="26"/>
      <x:c r="AD108" s="55"/>
    </x:row>
    <x:row r="109">
      <x:c r="A109" s="26"/>
      <x:c r="B109" s="26"/>
      <x:c r="C109" s="35"/>
      <x:c r="D109" s="39"/>
      <x:c r="E109" s="39"/>
      <x:c r="F109" s="26"/>
      <x:c r="G109" s="26"/>
      <x:c r="H109" s="26"/>
      <x:c r="I109" s="26"/>
      <x:c r="J109" s="26"/>
      <x:c r="K109" s="43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7" t="str">
        <x:f>IF(OR(J109="",K109="",L109="",M109=""),"",IF(J109="Long",(M109-L109)*K109,(L109-M109)*K109))</x:f>
      </x:c>
      <x:c r="X109" s="47" t="str">
        <x:f>IF(COUNTA(S109:V109)=0,"",SUM(S109:V109))</x:f>
      </x:c>
      <x:c r="Y109" s="47" t="str">
        <x:f>IF(W109="","",W109-IF(X109="",0,X109))</x:f>
      </x:c>
      <x:c r="Z109" s="47" t="str">
        <x:f>IF(OR(K109="",L109="",N109=""),"",ABS(L109-N109)*K109)</x:f>
      </x:c>
      <x:c r="AA109" s="52" t="str">
        <x:f>IFERROR(Y109/Z109,"")</x:f>
      </x:c>
      <x:c r="AB109" s="26"/>
      <x:c r="AC109" s="26"/>
      <x:c r="AD109" s="55"/>
    </x:row>
    <x:row r="110">
      <x:c r="A110" s="26"/>
      <x:c r="B110" s="26"/>
      <x:c r="C110" s="35"/>
      <x:c r="D110" s="39"/>
      <x:c r="E110" s="39"/>
      <x:c r="F110" s="26"/>
      <x:c r="G110" s="26"/>
      <x:c r="H110" s="26"/>
      <x:c r="I110" s="26"/>
      <x:c r="J110" s="26"/>
      <x:c r="K110" s="43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7" t="str">
        <x:f>IF(OR(J110="",K110="",L110="",M110=""),"",IF(J110="Long",(M110-L110)*K110,(L110-M110)*K110))</x:f>
      </x:c>
      <x:c r="X110" s="47" t="str">
        <x:f>IF(COUNTA(S110:V110)=0,"",SUM(S110:V110))</x:f>
      </x:c>
      <x:c r="Y110" s="47" t="str">
        <x:f>IF(W110="","",W110-IF(X110="",0,X110))</x:f>
      </x:c>
      <x:c r="Z110" s="47" t="str">
        <x:f>IF(OR(K110="",L110="",N110=""),"",ABS(L110-N110)*K110)</x:f>
      </x:c>
      <x:c r="AA110" s="52" t="str">
        <x:f>IFERROR(Y110/Z110,"")</x:f>
      </x:c>
      <x:c r="AB110" s="26"/>
      <x:c r="AC110" s="26"/>
      <x:c r="AD110" s="55"/>
    </x:row>
    <x:row r="111">
      <x:c r="A111" s="26"/>
      <x:c r="B111" s="26"/>
      <x:c r="C111" s="35"/>
      <x:c r="D111" s="39"/>
      <x:c r="E111" s="39"/>
      <x:c r="F111" s="26"/>
      <x:c r="G111" s="26"/>
      <x:c r="H111" s="26"/>
      <x:c r="I111" s="26"/>
      <x:c r="J111" s="26"/>
      <x:c r="K111" s="43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7" t="str">
        <x:f>IF(OR(J111="",K111="",L111="",M111=""),"",IF(J111="Long",(M111-L111)*K111,(L111-M111)*K111))</x:f>
      </x:c>
      <x:c r="X111" s="47" t="str">
        <x:f>IF(COUNTA(S111:V111)=0,"",SUM(S111:V111))</x:f>
      </x:c>
      <x:c r="Y111" s="47" t="str">
        <x:f>IF(W111="","",W111-IF(X111="",0,X111))</x:f>
      </x:c>
      <x:c r="Z111" s="47" t="str">
        <x:f>IF(OR(K111="",L111="",N111=""),"",ABS(L111-N111)*K111)</x:f>
      </x:c>
      <x:c r="AA111" s="52" t="str">
        <x:f>IFERROR(Y111/Z111,"")</x:f>
      </x:c>
      <x:c r="AB111" s="26"/>
      <x:c r="AC111" s="26"/>
      <x:c r="AD111" s="55"/>
    </x:row>
    <x:row r="112">
      <x:c r="A112" s="26"/>
      <x:c r="B112" s="26"/>
      <x:c r="C112" s="35"/>
      <x:c r="D112" s="39"/>
      <x:c r="E112" s="39"/>
      <x:c r="F112" s="26"/>
      <x:c r="G112" s="26"/>
      <x:c r="H112" s="26"/>
      <x:c r="I112" s="26"/>
      <x:c r="J112" s="26"/>
      <x:c r="K112" s="43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7" t="str">
        <x:f>IF(OR(J112="",K112="",L112="",M112=""),"",IF(J112="Long",(M112-L112)*K112,(L112-M112)*K112))</x:f>
      </x:c>
      <x:c r="X112" s="47" t="str">
        <x:f>IF(COUNTA(S112:V112)=0,"",SUM(S112:V112))</x:f>
      </x:c>
      <x:c r="Y112" s="47" t="str">
        <x:f>IF(W112="","",W112-IF(X112="",0,X112))</x:f>
      </x:c>
      <x:c r="Z112" s="47" t="str">
        <x:f>IF(OR(K112="",L112="",N112=""),"",ABS(L112-N112)*K112)</x:f>
      </x:c>
      <x:c r="AA112" s="52" t="str">
        <x:f>IFERROR(Y112/Z112,"")</x:f>
      </x:c>
      <x:c r="AB112" s="26"/>
      <x:c r="AC112" s="26"/>
      <x:c r="AD112" s="55"/>
    </x:row>
    <x:row r="113">
      <x:c r="A113" s="26"/>
      <x:c r="B113" s="26"/>
      <x:c r="C113" s="35"/>
      <x:c r="D113" s="39"/>
      <x:c r="E113" s="39"/>
      <x:c r="F113" s="26"/>
      <x:c r="G113" s="26"/>
      <x:c r="H113" s="26"/>
      <x:c r="I113" s="26"/>
      <x:c r="J113" s="26"/>
      <x:c r="K113" s="43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7" t="str">
        <x:f>IF(OR(J113="",K113="",L113="",M113=""),"",IF(J113="Long",(M113-L113)*K113,(L113-M113)*K113))</x:f>
      </x:c>
      <x:c r="X113" s="47" t="str">
        <x:f>IF(COUNTA(S113:V113)=0,"",SUM(S113:V113))</x:f>
      </x:c>
      <x:c r="Y113" s="47" t="str">
        <x:f>IF(W113="","",W113-IF(X113="",0,X113))</x:f>
      </x:c>
      <x:c r="Z113" s="47" t="str">
        <x:f>IF(OR(K113="",L113="",N113=""),"",ABS(L113-N113)*K113)</x:f>
      </x:c>
      <x:c r="AA113" s="52" t="str">
        <x:f>IFERROR(Y113/Z113,"")</x:f>
      </x:c>
      <x:c r="AB113" s="26"/>
      <x:c r="AC113" s="26"/>
      <x:c r="AD113" s="55"/>
    </x:row>
    <x:row r="114">
      <x:c r="A114" s="26"/>
      <x:c r="B114" s="26"/>
      <x:c r="C114" s="35"/>
      <x:c r="D114" s="39"/>
      <x:c r="E114" s="39"/>
      <x:c r="F114" s="26"/>
      <x:c r="G114" s="26"/>
      <x:c r="H114" s="26"/>
      <x:c r="I114" s="26"/>
      <x:c r="J114" s="26"/>
      <x:c r="K114" s="43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7" t="str">
        <x:f>IF(OR(J114="",K114="",L114="",M114=""),"",IF(J114="Long",(M114-L114)*K114,(L114-M114)*K114))</x:f>
      </x:c>
      <x:c r="X114" s="47" t="str">
        <x:f>IF(COUNTA(S114:V114)=0,"",SUM(S114:V114))</x:f>
      </x:c>
      <x:c r="Y114" s="47" t="str">
        <x:f>IF(W114="","",W114-IF(X114="",0,X114))</x:f>
      </x:c>
      <x:c r="Z114" s="47" t="str">
        <x:f>IF(OR(K114="",L114="",N114=""),"",ABS(L114-N114)*K114)</x:f>
      </x:c>
      <x:c r="AA114" s="52" t="str">
        <x:f>IFERROR(Y114/Z114,"")</x:f>
      </x:c>
      <x:c r="AB114" s="26"/>
      <x:c r="AC114" s="26"/>
      <x:c r="AD114" s="55"/>
    </x:row>
    <x:row r="115">
      <x:c r="A115" s="26"/>
      <x:c r="B115" s="26"/>
      <x:c r="C115" s="35"/>
      <x:c r="D115" s="39"/>
      <x:c r="E115" s="39"/>
      <x:c r="F115" s="26"/>
      <x:c r="G115" s="26"/>
      <x:c r="H115" s="26"/>
      <x:c r="I115" s="26"/>
      <x:c r="J115" s="26"/>
      <x:c r="K115" s="43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7" t="str">
        <x:f>IF(OR(J115="",K115="",L115="",M115=""),"",IF(J115="Long",(M115-L115)*K115,(L115-M115)*K115))</x:f>
      </x:c>
      <x:c r="X115" s="47" t="str">
        <x:f>IF(COUNTA(S115:V115)=0,"",SUM(S115:V115))</x:f>
      </x:c>
      <x:c r="Y115" s="47" t="str">
        <x:f>IF(W115="","",W115-IF(X115="",0,X115))</x:f>
      </x:c>
      <x:c r="Z115" s="47" t="str">
        <x:f>IF(OR(K115="",L115="",N115=""),"",ABS(L115-N115)*K115)</x:f>
      </x:c>
      <x:c r="AA115" s="52" t="str">
        <x:f>IFERROR(Y115/Z115,"")</x:f>
      </x:c>
      <x:c r="AB115" s="26"/>
      <x:c r="AC115" s="26"/>
      <x:c r="AD115" s="55"/>
    </x:row>
    <x:row r="116">
      <x:c r="A116" s="26"/>
      <x:c r="B116" s="26"/>
      <x:c r="C116" s="35"/>
      <x:c r="D116" s="39"/>
      <x:c r="E116" s="39"/>
      <x:c r="F116" s="26"/>
      <x:c r="G116" s="26"/>
      <x:c r="H116" s="26"/>
      <x:c r="I116" s="26"/>
      <x:c r="J116" s="26"/>
      <x:c r="K116" s="43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7" t="str">
        <x:f>IF(OR(J116="",K116="",L116="",M116=""),"",IF(J116="Long",(M116-L116)*K116,(L116-M116)*K116))</x:f>
      </x:c>
      <x:c r="X116" s="47" t="str">
        <x:f>IF(COUNTA(S116:V116)=0,"",SUM(S116:V116))</x:f>
      </x:c>
      <x:c r="Y116" s="47" t="str">
        <x:f>IF(W116="","",W116-IF(X116="",0,X116))</x:f>
      </x:c>
      <x:c r="Z116" s="47" t="str">
        <x:f>IF(OR(K116="",L116="",N116=""),"",ABS(L116-N116)*K116)</x:f>
      </x:c>
      <x:c r="AA116" s="52" t="str">
        <x:f>IFERROR(Y116/Z116,"")</x:f>
      </x:c>
      <x:c r="AB116" s="26"/>
      <x:c r="AC116" s="26"/>
      <x:c r="AD116" s="55"/>
    </x:row>
    <x:row r="117">
      <x:c r="A117" s="26"/>
      <x:c r="B117" s="26"/>
      <x:c r="C117" s="35"/>
      <x:c r="D117" s="39"/>
      <x:c r="E117" s="39"/>
      <x:c r="F117" s="26"/>
      <x:c r="G117" s="26"/>
      <x:c r="H117" s="26"/>
      <x:c r="I117" s="26"/>
      <x:c r="J117" s="26"/>
      <x:c r="K117" s="43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7" t="str">
        <x:f>IF(OR(J117="",K117="",L117="",M117=""),"",IF(J117="Long",(M117-L117)*K117,(L117-M117)*K117))</x:f>
      </x:c>
      <x:c r="X117" s="47" t="str">
        <x:f>IF(COUNTA(S117:V117)=0,"",SUM(S117:V117))</x:f>
      </x:c>
      <x:c r="Y117" s="47" t="str">
        <x:f>IF(W117="","",W117-IF(X117="",0,X117))</x:f>
      </x:c>
      <x:c r="Z117" s="47" t="str">
        <x:f>IF(OR(K117="",L117="",N117=""),"",ABS(L117-N117)*K117)</x:f>
      </x:c>
      <x:c r="AA117" s="52" t="str">
        <x:f>IFERROR(Y117/Z117,"")</x:f>
      </x:c>
      <x:c r="AB117" s="26"/>
      <x:c r="AC117" s="26"/>
      <x:c r="AD117" s="55"/>
    </x:row>
    <x:row r="118">
      <x:c r="A118" s="26"/>
      <x:c r="B118" s="26"/>
      <x:c r="C118" s="35"/>
      <x:c r="D118" s="39"/>
      <x:c r="E118" s="39"/>
      <x:c r="F118" s="26"/>
      <x:c r="G118" s="26"/>
      <x:c r="H118" s="26"/>
      <x:c r="I118" s="26"/>
      <x:c r="J118" s="26"/>
      <x:c r="K118" s="43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7" t="str">
        <x:f>IF(OR(J118="",K118="",L118="",M118=""),"",IF(J118="Long",(M118-L118)*K118,(L118-M118)*K118))</x:f>
      </x:c>
      <x:c r="X118" s="47" t="str">
        <x:f>IF(COUNTA(S118:V118)=0,"",SUM(S118:V118))</x:f>
      </x:c>
      <x:c r="Y118" s="47" t="str">
        <x:f>IF(W118="","",W118-IF(X118="",0,X118))</x:f>
      </x:c>
      <x:c r="Z118" s="47" t="str">
        <x:f>IF(OR(K118="",L118="",N118=""),"",ABS(L118-N118)*K118)</x:f>
      </x:c>
      <x:c r="AA118" s="52" t="str">
        <x:f>IFERROR(Y118/Z118,"")</x:f>
      </x:c>
      <x:c r="AB118" s="26"/>
      <x:c r="AC118" s="26"/>
      <x:c r="AD118" s="55"/>
    </x:row>
    <x:row r="119">
      <x:c r="A119" s="26"/>
      <x:c r="B119" s="26"/>
      <x:c r="C119" s="35"/>
      <x:c r="D119" s="39"/>
      <x:c r="E119" s="39"/>
      <x:c r="F119" s="26"/>
      <x:c r="G119" s="26"/>
      <x:c r="H119" s="26"/>
      <x:c r="I119" s="26"/>
      <x:c r="J119" s="26"/>
      <x:c r="K119" s="43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7" t="str">
        <x:f>IF(OR(J119="",K119="",L119="",M119=""),"",IF(J119="Long",(M119-L119)*K119,(L119-M119)*K119))</x:f>
      </x:c>
      <x:c r="X119" s="47" t="str">
        <x:f>IF(COUNTA(S119:V119)=0,"",SUM(S119:V119))</x:f>
      </x:c>
      <x:c r="Y119" s="47" t="str">
        <x:f>IF(W119="","",W119-IF(X119="",0,X119))</x:f>
      </x:c>
      <x:c r="Z119" s="47" t="str">
        <x:f>IF(OR(K119="",L119="",N119=""),"",ABS(L119-N119)*K119)</x:f>
      </x:c>
      <x:c r="AA119" s="52" t="str">
        <x:f>IFERROR(Y119/Z119,"")</x:f>
      </x:c>
      <x:c r="AB119" s="26"/>
      <x:c r="AC119" s="26"/>
      <x:c r="AD119" s="55"/>
    </x:row>
    <x:row r="120">
      <x:c r="A120" s="26"/>
      <x:c r="B120" s="26"/>
      <x:c r="C120" s="35"/>
      <x:c r="D120" s="39"/>
      <x:c r="E120" s="39"/>
      <x:c r="F120" s="26"/>
      <x:c r="G120" s="26"/>
      <x:c r="H120" s="26"/>
      <x:c r="I120" s="26"/>
      <x:c r="J120" s="26"/>
      <x:c r="K120" s="43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7" t="str">
        <x:f>IF(OR(J120="",K120="",L120="",M120=""),"",IF(J120="Long",(M120-L120)*K120,(L120-M120)*K120))</x:f>
      </x:c>
      <x:c r="X120" s="47" t="str">
        <x:f>IF(COUNTA(S120:V120)=0,"",SUM(S120:V120))</x:f>
      </x:c>
      <x:c r="Y120" s="47" t="str">
        <x:f>IF(W120="","",W120-IF(X120="",0,X120))</x:f>
      </x:c>
      <x:c r="Z120" s="47" t="str">
        <x:f>IF(OR(K120="",L120="",N120=""),"",ABS(L120-N120)*K120)</x:f>
      </x:c>
      <x:c r="AA120" s="52" t="str">
        <x:f>IFERROR(Y120/Z120,"")</x:f>
      </x:c>
      <x:c r="AB120" s="26"/>
      <x:c r="AC120" s="26"/>
      <x:c r="AD120" s="55"/>
    </x:row>
    <x:row r="121">
      <x:c r="A121" s="26"/>
      <x:c r="B121" s="26"/>
      <x:c r="C121" s="35"/>
      <x:c r="D121" s="39"/>
      <x:c r="E121" s="39"/>
      <x:c r="F121" s="26"/>
      <x:c r="G121" s="26"/>
      <x:c r="H121" s="26"/>
      <x:c r="I121" s="26"/>
      <x:c r="J121" s="26"/>
      <x:c r="K121" s="43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7" t="str">
        <x:f>IF(OR(J121="",K121="",L121="",M121=""),"",IF(J121="Long",(M121-L121)*K121,(L121-M121)*K121))</x:f>
      </x:c>
      <x:c r="X121" s="47" t="str">
        <x:f>IF(COUNTA(S121:V121)=0,"",SUM(S121:V121))</x:f>
      </x:c>
      <x:c r="Y121" s="47" t="str">
        <x:f>IF(W121="","",W121-IF(X121="",0,X121))</x:f>
      </x:c>
      <x:c r="Z121" s="47" t="str">
        <x:f>IF(OR(K121="",L121="",N121=""),"",ABS(L121-N121)*K121)</x:f>
      </x:c>
      <x:c r="AA121" s="52" t="str">
        <x:f>IFERROR(Y121/Z121,"")</x:f>
      </x:c>
      <x:c r="AB121" s="26"/>
      <x:c r="AC121" s="26"/>
      <x:c r="AD121" s="55"/>
    </x:row>
    <x:row r="122">
      <x:c r="A122" s="26"/>
      <x:c r="B122" s="26"/>
      <x:c r="C122" s="35"/>
      <x:c r="D122" s="39"/>
      <x:c r="E122" s="39"/>
      <x:c r="F122" s="26"/>
      <x:c r="G122" s="26"/>
      <x:c r="H122" s="26"/>
      <x:c r="I122" s="26"/>
      <x:c r="J122" s="26"/>
      <x:c r="K122" s="43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7" t="str">
        <x:f>IF(OR(J122="",K122="",L122="",M122=""),"",IF(J122="Long",(M122-L122)*K122,(L122-M122)*K122))</x:f>
      </x:c>
      <x:c r="X122" s="47" t="str">
        <x:f>IF(COUNTA(S122:V122)=0,"",SUM(S122:V122))</x:f>
      </x:c>
      <x:c r="Y122" s="47" t="str">
        <x:f>IF(W122="","",W122-IF(X122="",0,X122))</x:f>
      </x:c>
      <x:c r="Z122" s="47" t="str">
        <x:f>IF(OR(K122="",L122="",N122=""),"",ABS(L122-N122)*K122)</x:f>
      </x:c>
      <x:c r="AA122" s="52" t="str">
        <x:f>IFERROR(Y122/Z122,"")</x:f>
      </x:c>
      <x:c r="AB122" s="26"/>
      <x:c r="AC122" s="26"/>
      <x:c r="AD122" s="55"/>
    </x:row>
    <x:row r="123">
      <x:c r="A123" s="26"/>
      <x:c r="B123" s="26"/>
      <x:c r="C123" s="35"/>
      <x:c r="D123" s="39"/>
      <x:c r="E123" s="39"/>
      <x:c r="F123" s="26"/>
      <x:c r="G123" s="26"/>
      <x:c r="H123" s="26"/>
      <x:c r="I123" s="26"/>
      <x:c r="J123" s="26"/>
      <x:c r="K123" s="43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7" t="str">
        <x:f>IF(OR(J123="",K123="",L123="",M123=""),"",IF(J123="Long",(M123-L123)*K123,(L123-M123)*K123))</x:f>
      </x:c>
      <x:c r="X123" s="47" t="str">
        <x:f>IF(COUNTA(S123:V123)=0,"",SUM(S123:V123))</x:f>
      </x:c>
      <x:c r="Y123" s="47" t="str">
        <x:f>IF(W123="","",W123-IF(X123="",0,X123))</x:f>
      </x:c>
      <x:c r="Z123" s="47" t="str">
        <x:f>IF(OR(K123="",L123="",N123=""),"",ABS(L123-N123)*K123)</x:f>
      </x:c>
      <x:c r="AA123" s="52" t="str">
        <x:f>IFERROR(Y123/Z123,"")</x:f>
      </x:c>
      <x:c r="AB123" s="26"/>
      <x:c r="AC123" s="26"/>
      <x:c r="AD123" s="55"/>
    </x:row>
    <x:row r="124">
      <x:c r="A124" s="26"/>
      <x:c r="B124" s="26"/>
      <x:c r="C124" s="35"/>
      <x:c r="D124" s="39"/>
      <x:c r="E124" s="39"/>
      <x:c r="F124" s="26"/>
      <x:c r="G124" s="26"/>
      <x:c r="H124" s="26"/>
      <x:c r="I124" s="26"/>
      <x:c r="J124" s="26"/>
      <x:c r="K124" s="43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7" t="str">
        <x:f>IF(OR(J124="",K124="",L124="",M124=""),"",IF(J124="Long",(M124-L124)*K124,(L124-M124)*K124))</x:f>
      </x:c>
      <x:c r="X124" s="47" t="str">
        <x:f>IF(COUNTA(S124:V124)=0,"",SUM(S124:V124))</x:f>
      </x:c>
      <x:c r="Y124" s="47" t="str">
        <x:f>IF(W124="","",W124-IF(X124="",0,X124))</x:f>
      </x:c>
      <x:c r="Z124" s="47" t="str">
        <x:f>IF(OR(K124="",L124="",N124=""),"",ABS(L124-N124)*K124)</x:f>
      </x:c>
      <x:c r="AA124" s="52" t="str">
        <x:f>IFERROR(Y124/Z124,"")</x:f>
      </x:c>
      <x:c r="AB124" s="26"/>
      <x:c r="AC124" s="26"/>
      <x:c r="AD124" s="55"/>
    </x:row>
    <x:row r="125">
      <x:c r="A125" s="26"/>
      <x:c r="B125" s="26"/>
      <x:c r="C125" s="35"/>
      <x:c r="D125" s="39"/>
      <x:c r="E125" s="39"/>
      <x:c r="F125" s="26"/>
      <x:c r="G125" s="26"/>
      <x:c r="H125" s="26"/>
      <x:c r="I125" s="26"/>
      <x:c r="J125" s="26"/>
      <x:c r="K125" s="43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7" t="str">
        <x:f>IF(OR(J125="",K125="",L125="",M125=""),"",IF(J125="Long",(M125-L125)*K125,(L125-M125)*K125))</x:f>
      </x:c>
      <x:c r="X125" s="47" t="str">
        <x:f>IF(COUNTA(S125:V125)=0,"",SUM(S125:V125))</x:f>
      </x:c>
      <x:c r="Y125" s="47" t="str">
        <x:f>IF(W125="","",W125-IF(X125="",0,X125))</x:f>
      </x:c>
      <x:c r="Z125" s="47" t="str">
        <x:f>IF(OR(K125="",L125="",N125=""),"",ABS(L125-N125)*K125)</x:f>
      </x:c>
      <x:c r="AA125" s="52" t="str">
        <x:f>IFERROR(Y125/Z125,"")</x:f>
      </x:c>
      <x:c r="AB125" s="26"/>
      <x:c r="AC125" s="26"/>
      <x:c r="AD125" s="55"/>
    </x:row>
    <x:row r="126">
      <x:c r="A126" s="26"/>
      <x:c r="B126" s="26"/>
      <x:c r="C126" s="35"/>
      <x:c r="D126" s="39"/>
      <x:c r="E126" s="39"/>
      <x:c r="F126" s="26"/>
      <x:c r="G126" s="26"/>
      <x:c r="H126" s="26"/>
      <x:c r="I126" s="26"/>
      <x:c r="J126" s="26"/>
      <x:c r="K126" s="43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7" t="str">
        <x:f>IF(OR(J126="",K126="",L126="",M126=""),"",IF(J126="Long",(M126-L126)*K126,(L126-M126)*K126))</x:f>
      </x:c>
      <x:c r="X126" s="47" t="str">
        <x:f>IF(COUNTA(S126:V126)=0,"",SUM(S126:V126))</x:f>
      </x:c>
      <x:c r="Y126" s="47" t="str">
        <x:f>IF(W126="","",W126-IF(X126="",0,X126))</x:f>
      </x:c>
      <x:c r="Z126" s="47" t="str">
        <x:f>IF(OR(K126="",L126="",N126=""),"",ABS(L126-N126)*K126)</x:f>
      </x:c>
      <x:c r="AA126" s="52" t="str">
        <x:f>IFERROR(Y126/Z126,"")</x:f>
      </x:c>
      <x:c r="AB126" s="26"/>
      <x:c r="AC126" s="26"/>
      <x:c r="AD126" s="55"/>
    </x:row>
    <x:row r="127">
      <x:c r="A127" s="26"/>
      <x:c r="B127" s="26"/>
      <x:c r="C127" s="35"/>
      <x:c r="D127" s="39"/>
      <x:c r="E127" s="39"/>
      <x:c r="F127" s="26"/>
      <x:c r="G127" s="26"/>
      <x:c r="H127" s="26"/>
      <x:c r="I127" s="26"/>
      <x:c r="J127" s="26"/>
      <x:c r="K127" s="43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7" t="str">
        <x:f>IF(OR(J127="",K127="",L127="",M127=""),"",IF(J127="Long",(M127-L127)*K127,(L127-M127)*K127))</x:f>
      </x:c>
      <x:c r="X127" s="47" t="str">
        <x:f>IF(COUNTA(S127:V127)=0,"",SUM(S127:V127))</x:f>
      </x:c>
      <x:c r="Y127" s="47" t="str">
        <x:f>IF(W127="","",W127-IF(X127="",0,X127))</x:f>
      </x:c>
      <x:c r="Z127" s="47" t="str">
        <x:f>IF(OR(K127="",L127="",N127=""),"",ABS(L127-N127)*K127)</x:f>
      </x:c>
      <x:c r="AA127" s="52" t="str">
        <x:f>IFERROR(Y127/Z127,"")</x:f>
      </x:c>
      <x:c r="AB127" s="26"/>
      <x:c r="AC127" s="26"/>
      <x:c r="AD127" s="55"/>
    </x:row>
    <x:row r="128">
      <x:c r="A128" s="26"/>
      <x:c r="B128" s="26"/>
      <x:c r="C128" s="35"/>
      <x:c r="D128" s="39"/>
      <x:c r="E128" s="39"/>
      <x:c r="F128" s="26"/>
      <x:c r="G128" s="26"/>
      <x:c r="H128" s="26"/>
      <x:c r="I128" s="26"/>
      <x:c r="J128" s="26"/>
      <x:c r="K128" s="43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7" t="str">
        <x:f>IF(OR(J128="",K128="",L128="",M128=""),"",IF(J128="Long",(M128-L128)*K128,(L128-M128)*K128))</x:f>
      </x:c>
      <x:c r="X128" s="47" t="str">
        <x:f>IF(COUNTA(S128:V128)=0,"",SUM(S128:V128))</x:f>
      </x:c>
      <x:c r="Y128" s="47" t="str">
        <x:f>IF(W128="","",W128-IF(X128="",0,X128))</x:f>
      </x:c>
      <x:c r="Z128" s="47" t="str">
        <x:f>IF(OR(K128="",L128="",N128=""),"",ABS(L128-N128)*K128)</x:f>
      </x:c>
      <x:c r="AA128" s="52" t="str">
        <x:f>IFERROR(Y128/Z128,"")</x:f>
      </x:c>
      <x:c r="AB128" s="26"/>
      <x:c r="AC128" s="26"/>
      <x:c r="AD128" s="55"/>
    </x:row>
    <x:row r="129">
      <x:c r="A129" s="26"/>
      <x:c r="B129" s="26"/>
      <x:c r="C129" s="35"/>
      <x:c r="D129" s="39"/>
      <x:c r="E129" s="39"/>
      <x:c r="F129" s="26"/>
      <x:c r="G129" s="26"/>
      <x:c r="H129" s="26"/>
      <x:c r="I129" s="26"/>
      <x:c r="J129" s="26"/>
      <x:c r="K129" s="43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7" t="str">
        <x:f>IF(OR(J129="",K129="",L129="",M129=""),"",IF(J129="Long",(M129-L129)*K129,(L129-M129)*K129))</x:f>
      </x:c>
      <x:c r="X129" s="47" t="str">
        <x:f>IF(COUNTA(S129:V129)=0,"",SUM(S129:V129))</x:f>
      </x:c>
      <x:c r="Y129" s="47" t="str">
        <x:f>IF(W129="","",W129-IF(X129="",0,X129))</x:f>
      </x:c>
      <x:c r="Z129" s="47" t="str">
        <x:f>IF(OR(K129="",L129="",N129=""),"",ABS(L129-N129)*K129)</x:f>
      </x:c>
      <x:c r="AA129" s="52" t="str">
        <x:f>IFERROR(Y129/Z129,"")</x:f>
      </x:c>
      <x:c r="AB129" s="26"/>
      <x:c r="AC129" s="26"/>
      <x:c r="AD129" s="55"/>
    </x:row>
    <x:row r="130">
      <x:c r="A130" s="26"/>
      <x:c r="B130" s="26"/>
      <x:c r="C130" s="35"/>
      <x:c r="D130" s="39"/>
      <x:c r="E130" s="39"/>
      <x:c r="F130" s="26"/>
      <x:c r="G130" s="26"/>
      <x:c r="H130" s="26"/>
      <x:c r="I130" s="26"/>
      <x:c r="J130" s="26"/>
      <x:c r="K130" s="43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7" t="str">
        <x:f>IF(OR(J130="",K130="",L130="",M130=""),"",IF(J130="Long",(M130-L130)*K130,(L130-M130)*K130))</x:f>
      </x:c>
      <x:c r="X130" s="47" t="str">
        <x:f>IF(COUNTA(S130:V130)=0,"",SUM(S130:V130))</x:f>
      </x:c>
      <x:c r="Y130" s="47" t="str">
        <x:f>IF(W130="","",W130-IF(X130="",0,X130))</x:f>
      </x:c>
      <x:c r="Z130" s="47" t="str">
        <x:f>IF(OR(K130="",L130="",N130=""),"",ABS(L130-N130)*K130)</x:f>
      </x:c>
      <x:c r="AA130" s="52" t="str">
        <x:f>IFERROR(Y130/Z130,"")</x:f>
      </x:c>
      <x:c r="AB130" s="26"/>
      <x:c r="AC130" s="26"/>
      <x:c r="AD130" s="55"/>
    </x:row>
    <x:row r="131">
      <x:c r="A131" s="26"/>
      <x:c r="B131" s="26"/>
      <x:c r="C131" s="35"/>
      <x:c r="D131" s="39"/>
      <x:c r="E131" s="39"/>
      <x:c r="F131" s="26"/>
      <x:c r="G131" s="26"/>
      <x:c r="H131" s="26"/>
      <x:c r="I131" s="26"/>
      <x:c r="J131" s="26"/>
      <x:c r="K131" s="43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7" t="str">
        <x:f>IF(OR(J131="",K131="",L131="",M131=""),"",IF(J131="Long",(M131-L131)*K131,(L131-M131)*K131))</x:f>
      </x:c>
      <x:c r="X131" s="47" t="str">
        <x:f>IF(COUNTA(S131:V131)=0,"",SUM(S131:V131))</x:f>
      </x:c>
      <x:c r="Y131" s="47" t="str">
        <x:f>IF(W131="","",W131-IF(X131="",0,X131))</x:f>
      </x:c>
      <x:c r="Z131" s="47" t="str">
        <x:f>IF(OR(K131="",L131="",N131=""),"",ABS(L131-N131)*K131)</x:f>
      </x:c>
      <x:c r="AA131" s="52" t="str">
        <x:f>IFERROR(Y131/Z131,"")</x:f>
      </x:c>
      <x:c r="AB131" s="26"/>
      <x:c r="AC131" s="26"/>
      <x:c r="AD131" s="55"/>
    </x:row>
    <x:row r="132">
      <x:c r="A132" s="26"/>
      <x:c r="B132" s="26"/>
      <x:c r="C132" s="35"/>
      <x:c r="D132" s="39"/>
      <x:c r="E132" s="39"/>
      <x:c r="F132" s="26"/>
      <x:c r="G132" s="26"/>
      <x:c r="H132" s="26"/>
      <x:c r="I132" s="26"/>
      <x:c r="J132" s="26"/>
      <x:c r="K132" s="43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7" t="str">
        <x:f>IF(OR(J132="",K132="",L132="",M132=""),"",IF(J132="Long",(M132-L132)*K132,(L132-M132)*K132))</x:f>
      </x:c>
      <x:c r="X132" s="47" t="str">
        <x:f>IF(COUNTA(S132:V132)=0,"",SUM(S132:V132))</x:f>
      </x:c>
      <x:c r="Y132" s="47" t="str">
        <x:f>IF(W132="","",W132-IF(X132="",0,X132))</x:f>
      </x:c>
      <x:c r="Z132" s="47" t="str">
        <x:f>IF(OR(K132="",L132="",N132=""),"",ABS(L132-N132)*K132)</x:f>
      </x:c>
      <x:c r="AA132" s="52" t="str">
        <x:f>IFERROR(Y132/Z132,"")</x:f>
      </x:c>
      <x:c r="AB132" s="26"/>
      <x:c r="AC132" s="26"/>
      <x:c r="AD132" s="55"/>
    </x:row>
    <x:row r="133">
      <x:c r="A133" s="26"/>
      <x:c r="B133" s="26"/>
      <x:c r="C133" s="35"/>
      <x:c r="D133" s="39"/>
      <x:c r="E133" s="39"/>
      <x:c r="F133" s="26"/>
      <x:c r="G133" s="26"/>
      <x:c r="H133" s="26"/>
      <x:c r="I133" s="26"/>
      <x:c r="J133" s="26"/>
      <x:c r="K133" s="43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7" t="str">
        <x:f>IF(OR(J133="",K133="",L133="",M133=""),"",IF(J133="Long",(M133-L133)*K133,(L133-M133)*K133))</x:f>
      </x:c>
      <x:c r="X133" s="47" t="str">
        <x:f>IF(COUNTA(S133:V133)=0,"",SUM(S133:V133))</x:f>
      </x:c>
      <x:c r="Y133" s="47" t="str">
        <x:f>IF(W133="","",W133-IF(X133="",0,X133))</x:f>
      </x:c>
      <x:c r="Z133" s="47" t="str">
        <x:f>IF(OR(K133="",L133="",N133=""),"",ABS(L133-N133)*K133)</x:f>
      </x:c>
      <x:c r="AA133" s="52" t="str">
        <x:f>IFERROR(Y133/Z133,"")</x:f>
      </x:c>
      <x:c r="AB133" s="26"/>
      <x:c r="AC133" s="26"/>
      <x:c r="AD133" s="55"/>
    </x:row>
    <x:row r="134">
      <x:c r="A134" s="26"/>
      <x:c r="B134" s="26"/>
      <x:c r="C134" s="35"/>
      <x:c r="D134" s="39"/>
      <x:c r="E134" s="39"/>
      <x:c r="F134" s="26"/>
      <x:c r="G134" s="26"/>
      <x:c r="H134" s="26"/>
      <x:c r="I134" s="26"/>
      <x:c r="J134" s="26"/>
      <x:c r="K134" s="43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7" t="str">
        <x:f>IF(OR(J134="",K134="",L134="",M134=""),"",IF(J134="Long",(M134-L134)*K134,(L134-M134)*K134))</x:f>
      </x:c>
      <x:c r="X134" s="47" t="str">
        <x:f>IF(COUNTA(S134:V134)=0,"",SUM(S134:V134))</x:f>
      </x:c>
      <x:c r="Y134" s="47" t="str">
        <x:f>IF(W134="","",W134-IF(X134="",0,X134))</x:f>
      </x:c>
      <x:c r="Z134" s="47" t="str">
        <x:f>IF(OR(K134="",L134="",N134=""),"",ABS(L134-N134)*K134)</x:f>
      </x:c>
      <x:c r="AA134" s="52" t="str">
        <x:f>IFERROR(Y134/Z134,"")</x:f>
      </x:c>
      <x:c r="AB134" s="26"/>
      <x:c r="AC134" s="26"/>
      <x:c r="AD134" s="55"/>
    </x:row>
    <x:row r="135">
      <x:c r="A135" s="26"/>
      <x:c r="B135" s="26"/>
      <x:c r="C135" s="35"/>
      <x:c r="D135" s="39"/>
      <x:c r="E135" s="39"/>
      <x:c r="F135" s="26"/>
      <x:c r="G135" s="26"/>
      <x:c r="H135" s="26"/>
      <x:c r="I135" s="26"/>
      <x:c r="J135" s="26"/>
      <x:c r="K135" s="43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7" t="str">
        <x:f>IF(OR(J135="",K135="",L135="",M135=""),"",IF(J135="Long",(M135-L135)*K135,(L135-M135)*K135))</x:f>
      </x:c>
      <x:c r="X135" s="47" t="str">
        <x:f>IF(COUNTA(S135:V135)=0,"",SUM(S135:V135))</x:f>
      </x:c>
      <x:c r="Y135" s="47" t="str">
        <x:f>IF(W135="","",W135-IF(X135="",0,X135))</x:f>
      </x:c>
      <x:c r="Z135" s="47" t="str">
        <x:f>IF(OR(K135="",L135="",N135=""),"",ABS(L135-N135)*K135)</x:f>
      </x:c>
      <x:c r="AA135" s="52" t="str">
        <x:f>IFERROR(Y135/Z135,"")</x:f>
      </x:c>
      <x:c r="AB135" s="26"/>
      <x:c r="AC135" s="26"/>
      <x:c r="AD135" s="55"/>
    </x:row>
    <x:row r="136">
      <x:c r="A136" s="26"/>
      <x:c r="B136" s="26"/>
      <x:c r="C136" s="35"/>
      <x:c r="D136" s="39"/>
      <x:c r="E136" s="39"/>
      <x:c r="F136" s="26"/>
      <x:c r="G136" s="26"/>
      <x:c r="H136" s="26"/>
      <x:c r="I136" s="26"/>
      <x:c r="J136" s="26"/>
      <x:c r="K136" s="43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7" t="str">
        <x:f>IF(OR(J136="",K136="",L136="",M136=""),"",IF(J136="Long",(M136-L136)*K136,(L136-M136)*K136))</x:f>
      </x:c>
      <x:c r="X136" s="47" t="str">
        <x:f>IF(COUNTA(S136:V136)=0,"",SUM(S136:V136))</x:f>
      </x:c>
      <x:c r="Y136" s="47" t="str">
        <x:f>IF(W136="","",W136-IF(X136="",0,X136))</x:f>
      </x:c>
      <x:c r="Z136" s="47" t="str">
        <x:f>IF(OR(K136="",L136="",N136=""),"",ABS(L136-N136)*K136)</x:f>
      </x:c>
      <x:c r="AA136" s="52" t="str">
        <x:f>IFERROR(Y136/Z136,"")</x:f>
      </x:c>
      <x:c r="AB136" s="26"/>
      <x:c r="AC136" s="26"/>
      <x:c r="AD136" s="55"/>
    </x:row>
    <x:row r="137">
      <x:c r="A137" s="26"/>
      <x:c r="B137" s="26"/>
      <x:c r="C137" s="35"/>
      <x:c r="D137" s="39"/>
      <x:c r="E137" s="39"/>
      <x:c r="F137" s="26"/>
      <x:c r="G137" s="26"/>
      <x:c r="H137" s="26"/>
      <x:c r="I137" s="26"/>
      <x:c r="J137" s="26"/>
      <x:c r="K137" s="43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7" t="str">
        <x:f>IF(OR(J137="",K137="",L137="",M137=""),"",IF(J137="Long",(M137-L137)*K137,(L137-M137)*K137))</x:f>
      </x:c>
      <x:c r="X137" s="47" t="str">
        <x:f>IF(COUNTA(S137:V137)=0,"",SUM(S137:V137))</x:f>
      </x:c>
      <x:c r="Y137" s="47" t="str">
        <x:f>IF(W137="","",W137-IF(X137="",0,X137))</x:f>
      </x:c>
      <x:c r="Z137" s="47" t="str">
        <x:f>IF(OR(K137="",L137="",N137=""),"",ABS(L137-N137)*K137)</x:f>
      </x:c>
      <x:c r="AA137" s="52" t="str">
        <x:f>IFERROR(Y137/Z137,"")</x:f>
      </x:c>
      <x:c r="AB137" s="26"/>
      <x:c r="AC137" s="26"/>
      <x:c r="AD137" s="55"/>
    </x:row>
    <x:row r="138">
      <x:c r="A138" s="26"/>
      <x:c r="B138" s="26"/>
      <x:c r="C138" s="35"/>
      <x:c r="D138" s="39"/>
      <x:c r="E138" s="39"/>
      <x:c r="F138" s="26"/>
      <x:c r="G138" s="26"/>
      <x:c r="H138" s="26"/>
      <x:c r="I138" s="26"/>
      <x:c r="J138" s="26"/>
      <x:c r="K138" s="43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7" t="str">
        <x:f>IF(OR(J138="",K138="",L138="",M138=""),"",IF(J138="Long",(M138-L138)*K138,(L138-M138)*K138))</x:f>
      </x:c>
      <x:c r="X138" s="47" t="str">
        <x:f>IF(COUNTA(S138:V138)=0,"",SUM(S138:V138))</x:f>
      </x:c>
      <x:c r="Y138" s="47" t="str">
        <x:f>IF(W138="","",W138-IF(X138="",0,X138))</x:f>
      </x:c>
      <x:c r="Z138" s="47" t="str">
        <x:f>IF(OR(K138="",L138="",N138=""),"",ABS(L138-N138)*K138)</x:f>
      </x:c>
      <x:c r="AA138" s="52" t="str">
        <x:f>IFERROR(Y138/Z138,"")</x:f>
      </x:c>
      <x:c r="AB138" s="26"/>
      <x:c r="AC138" s="26"/>
      <x:c r="AD138" s="55"/>
    </x:row>
    <x:row r="139">
      <x:c r="A139" s="26"/>
      <x:c r="B139" s="26"/>
      <x:c r="C139" s="35"/>
      <x:c r="D139" s="39"/>
      <x:c r="E139" s="39"/>
      <x:c r="F139" s="26"/>
      <x:c r="G139" s="26"/>
      <x:c r="H139" s="26"/>
      <x:c r="I139" s="26"/>
      <x:c r="J139" s="26"/>
      <x:c r="K139" s="43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7" t="str">
        <x:f>IF(OR(J139="",K139="",L139="",M139=""),"",IF(J139="Long",(M139-L139)*K139,(L139-M139)*K139))</x:f>
      </x:c>
      <x:c r="X139" s="47" t="str">
        <x:f>IF(COUNTA(S139:V139)=0,"",SUM(S139:V139))</x:f>
      </x:c>
      <x:c r="Y139" s="47" t="str">
        <x:f>IF(W139="","",W139-IF(X139="",0,X139))</x:f>
      </x:c>
      <x:c r="Z139" s="47" t="str">
        <x:f>IF(OR(K139="",L139="",N139=""),"",ABS(L139-N139)*K139)</x:f>
      </x:c>
      <x:c r="AA139" s="52" t="str">
        <x:f>IFERROR(Y139/Z139,"")</x:f>
      </x:c>
      <x:c r="AB139" s="26"/>
      <x:c r="AC139" s="26"/>
      <x:c r="AD139" s="55"/>
    </x:row>
    <x:row r="140">
      <x:c r="A140" s="26"/>
      <x:c r="B140" s="26"/>
      <x:c r="C140" s="35"/>
      <x:c r="D140" s="39"/>
      <x:c r="E140" s="39"/>
      <x:c r="F140" s="26"/>
      <x:c r="G140" s="26"/>
      <x:c r="H140" s="26"/>
      <x:c r="I140" s="26"/>
      <x:c r="J140" s="26"/>
      <x:c r="K140" s="43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7" t="str">
        <x:f>IF(OR(J140="",K140="",L140="",M140=""),"",IF(J140="Long",(M140-L140)*K140,(L140-M140)*K140))</x:f>
      </x:c>
      <x:c r="X140" s="47" t="str">
        <x:f>IF(COUNTA(S140:V140)=0,"",SUM(S140:V140))</x:f>
      </x:c>
      <x:c r="Y140" s="47" t="str">
        <x:f>IF(W140="","",W140-IF(X140="",0,X140))</x:f>
      </x:c>
      <x:c r="Z140" s="47" t="str">
        <x:f>IF(OR(K140="",L140="",N140=""),"",ABS(L140-N140)*K140)</x:f>
      </x:c>
      <x:c r="AA140" s="52" t="str">
        <x:f>IFERROR(Y140/Z140,"")</x:f>
      </x:c>
      <x:c r="AB140" s="26"/>
      <x:c r="AC140" s="26"/>
      <x:c r="AD140" s="55"/>
    </x:row>
    <x:row r="141">
      <x:c r="A141" s="26"/>
      <x:c r="B141" s="26"/>
      <x:c r="C141" s="35"/>
      <x:c r="D141" s="39"/>
      <x:c r="E141" s="39"/>
      <x:c r="F141" s="26"/>
      <x:c r="G141" s="26"/>
      <x:c r="H141" s="26"/>
      <x:c r="I141" s="26"/>
      <x:c r="J141" s="26"/>
      <x:c r="K141" s="43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7" t="str">
        <x:f>IF(OR(J141="",K141="",L141="",M141=""),"",IF(J141="Long",(M141-L141)*K141,(L141-M141)*K141))</x:f>
      </x:c>
      <x:c r="X141" s="47" t="str">
        <x:f>IF(COUNTA(S141:V141)=0,"",SUM(S141:V141))</x:f>
      </x:c>
      <x:c r="Y141" s="47" t="str">
        <x:f>IF(W141="","",W141-IF(X141="",0,X141))</x:f>
      </x:c>
      <x:c r="Z141" s="47" t="str">
        <x:f>IF(OR(K141="",L141="",N141=""),"",ABS(L141-N141)*K141)</x:f>
      </x:c>
      <x:c r="AA141" s="52" t="str">
        <x:f>IFERROR(Y141/Z141,"")</x:f>
      </x:c>
      <x:c r="AB141" s="26"/>
      <x:c r="AC141" s="26"/>
      <x:c r="AD141" s="55"/>
    </x:row>
    <x:row r="142">
      <x:c r="A142" s="26"/>
      <x:c r="B142" s="26"/>
      <x:c r="C142" s="35"/>
      <x:c r="D142" s="39"/>
      <x:c r="E142" s="39"/>
      <x:c r="F142" s="26"/>
      <x:c r="G142" s="26"/>
      <x:c r="H142" s="26"/>
      <x:c r="I142" s="26"/>
      <x:c r="J142" s="26"/>
      <x:c r="K142" s="43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7" t="str">
        <x:f>IF(OR(J142="",K142="",L142="",M142=""),"",IF(J142="Long",(M142-L142)*K142,(L142-M142)*K142))</x:f>
      </x:c>
      <x:c r="X142" s="47" t="str">
        <x:f>IF(COUNTA(S142:V142)=0,"",SUM(S142:V142))</x:f>
      </x:c>
      <x:c r="Y142" s="47" t="str">
        <x:f>IF(W142="","",W142-IF(X142="",0,X142))</x:f>
      </x:c>
      <x:c r="Z142" s="47" t="str">
        <x:f>IF(OR(K142="",L142="",N142=""),"",ABS(L142-N142)*K142)</x:f>
      </x:c>
      <x:c r="AA142" s="52" t="str">
        <x:f>IFERROR(Y142/Z142,"")</x:f>
      </x:c>
      <x:c r="AB142" s="26"/>
      <x:c r="AC142" s="26"/>
      <x:c r="AD142" s="55"/>
    </x:row>
    <x:row r="143">
      <x:c r="A143" s="26"/>
      <x:c r="B143" s="26"/>
      <x:c r="C143" s="35"/>
      <x:c r="D143" s="39"/>
      <x:c r="E143" s="39"/>
      <x:c r="F143" s="26"/>
      <x:c r="G143" s="26"/>
      <x:c r="H143" s="26"/>
      <x:c r="I143" s="26"/>
      <x:c r="J143" s="26"/>
      <x:c r="K143" s="43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7" t="str">
        <x:f>IF(OR(J143="",K143="",L143="",M143=""),"",IF(J143="Long",(M143-L143)*K143,(L143-M143)*K143))</x:f>
      </x:c>
      <x:c r="X143" s="47" t="str">
        <x:f>IF(COUNTA(S143:V143)=0,"",SUM(S143:V143))</x:f>
      </x:c>
      <x:c r="Y143" s="47" t="str">
        <x:f>IF(W143="","",W143-IF(X143="",0,X143))</x:f>
      </x:c>
      <x:c r="Z143" s="47" t="str">
        <x:f>IF(OR(K143="",L143="",N143=""),"",ABS(L143-N143)*K143)</x:f>
      </x:c>
      <x:c r="AA143" s="52" t="str">
        <x:f>IFERROR(Y143/Z143,"")</x:f>
      </x:c>
      <x:c r="AB143" s="26"/>
      <x:c r="AC143" s="26"/>
      <x:c r="AD143" s="55"/>
    </x:row>
    <x:row r="144">
      <x:c r="A144" s="26"/>
      <x:c r="B144" s="26"/>
      <x:c r="C144" s="35"/>
      <x:c r="D144" s="39"/>
      <x:c r="E144" s="39"/>
      <x:c r="F144" s="26"/>
      <x:c r="G144" s="26"/>
      <x:c r="H144" s="26"/>
      <x:c r="I144" s="26"/>
      <x:c r="J144" s="26"/>
      <x:c r="K144" s="43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7" t="str">
        <x:f>IF(OR(J144="",K144="",L144="",M144=""),"",IF(J144="Long",(M144-L144)*K144,(L144-M144)*K144))</x:f>
      </x:c>
      <x:c r="X144" s="47" t="str">
        <x:f>IF(COUNTA(S144:V144)=0,"",SUM(S144:V144))</x:f>
      </x:c>
      <x:c r="Y144" s="47" t="str">
        <x:f>IF(W144="","",W144-IF(X144="",0,X144))</x:f>
      </x:c>
      <x:c r="Z144" s="47" t="str">
        <x:f>IF(OR(K144="",L144="",N144=""),"",ABS(L144-N144)*K144)</x:f>
      </x:c>
      <x:c r="AA144" s="52" t="str">
        <x:f>IFERROR(Y144/Z144,"")</x:f>
      </x:c>
      <x:c r="AB144" s="26"/>
      <x:c r="AC144" s="26"/>
      <x:c r="AD144" s="55"/>
    </x:row>
    <x:row r="145">
      <x:c r="A145" s="26"/>
      <x:c r="B145" s="26"/>
      <x:c r="C145" s="35"/>
      <x:c r="D145" s="39"/>
      <x:c r="E145" s="39"/>
      <x:c r="F145" s="26"/>
      <x:c r="G145" s="26"/>
      <x:c r="H145" s="26"/>
      <x:c r="I145" s="26"/>
      <x:c r="J145" s="26"/>
      <x:c r="K145" s="43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7" t="str">
        <x:f>IF(OR(J145="",K145="",L145="",M145=""),"",IF(J145="Long",(M145-L145)*K145,(L145-M145)*K145))</x:f>
      </x:c>
      <x:c r="X145" s="47" t="str">
        <x:f>IF(COUNTA(S145:V145)=0,"",SUM(S145:V145))</x:f>
      </x:c>
      <x:c r="Y145" s="47" t="str">
        <x:f>IF(W145="","",W145-IF(X145="",0,X145))</x:f>
      </x:c>
      <x:c r="Z145" s="47" t="str">
        <x:f>IF(OR(K145="",L145="",N145=""),"",ABS(L145-N145)*K145)</x:f>
      </x:c>
      <x:c r="AA145" s="52" t="str">
        <x:f>IFERROR(Y145/Z145,"")</x:f>
      </x:c>
      <x:c r="AB145" s="26"/>
      <x:c r="AC145" s="26"/>
      <x:c r="AD145" s="55"/>
    </x:row>
    <x:row r="146">
      <x:c r="A146" s="26"/>
      <x:c r="B146" s="26"/>
      <x:c r="C146" s="35"/>
      <x:c r="D146" s="39"/>
      <x:c r="E146" s="39"/>
      <x:c r="F146" s="26"/>
      <x:c r="G146" s="26"/>
      <x:c r="H146" s="26"/>
      <x:c r="I146" s="26"/>
      <x:c r="J146" s="26"/>
      <x:c r="K146" s="43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7" t="str">
        <x:f>IF(OR(J146="",K146="",L146="",M146=""),"",IF(J146="Long",(M146-L146)*K146,(L146-M146)*K146))</x:f>
      </x:c>
      <x:c r="X146" s="47" t="str">
        <x:f>IF(COUNTA(S146:V146)=0,"",SUM(S146:V146))</x:f>
      </x:c>
      <x:c r="Y146" s="47" t="str">
        <x:f>IF(W146="","",W146-IF(X146="",0,X146))</x:f>
      </x:c>
      <x:c r="Z146" s="47" t="str">
        <x:f>IF(OR(K146="",L146="",N146=""),"",ABS(L146-N146)*K146)</x:f>
      </x:c>
      <x:c r="AA146" s="52" t="str">
        <x:f>IFERROR(Y146/Z146,"")</x:f>
      </x:c>
      <x:c r="AB146" s="26"/>
      <x:c r="AC146" s="26"/>
      <x:c r="AD146" s="55"/>
    </x:row>
    <x:row r="147">
      <x:c r="A147" s="26"/>
      <x:c r="B147" s="26"/>
      <x:c r="C147" s="35"/>
      <x:c r="D147" s="39"/>
      <x:c r="E147" s="39"/>
      <x:c r="F147" s="26"/>
      <x:c r="G147" s="26"/>
      <x:c r="H147" s="26"/>
      <x:c r="I147" s="26"/>
      <x:c r="J147" s="26"/>
      <x:c r="K147" s="43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7" t="str">
        <x:f>IF(OR(J147="",K147="",L147="",M147=""),"",IF(J147="Long",(M147-L147)*K147,(L147-M147)*K147))</x:f>
      </x:c>
      <x:c r="X147" s="47" t="str">
        <x:f>IF(COUNTA(S147:V147)=0,"",SUM(S147:V147))</x:f>
      </x:c>
      <x:c r="Y147" s="47" t="str">
        <x:f>IF(W147="","",W147-IF(X147="",0,X147))</x:f>
      </x:c>
      <x:c r="Z147" s="47" t="str">
        <x:f>IF(OR(K147="",L147="",N147=""),"",ABS(L147-N147)*K147)</x:f>
      </x:c>
      <x:c r="AA147" s="52" t="str">
        <x:f>IFERROR(Y147/Z147,"")</x:f>
      </x:c>
      <x:c r="AB147" s="26"/>
      <x:c r="AC147" s="26"/>
      <x:c r="AD147" s="55"/>
    </x:row>
    <x:row r="148">
      <x:c r="A148" s="26"/>
      <x:c r="B148" s="26"/>
      <x:c r="C148" s="35"/>
      <x:c r="D148" s="39"/>
      <x:c r="E148" s="39"/>
      <x:c r="F148" s="26"/>
      <x:c r="G148" s="26"/>
      <x:c r="H148" s="26"/>
      <x:c r="I148" s="26"/>
      <x:c r="J148" s="26"/>
      <x:c r="K148" s="43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7" t="str">
        <x:f>IF(OR(J148="",K148="",L148="",M148=""),"",IF(J148="Long",(M148-L148)*K148,(L148-M148)*K148))</x:f>
      </x:c>
      <x:c r="X148" s="47" t="str">
        <x:f>IF(COUNTA(S148:V148)=0,"",SUM(S148:V148))</x:f>
      </x:c>
      <x:c r="Y148" s="47" t="str">
        <x:f>IF(W148="","",W148-IF(X148="",0,X148))</x:f>
      </x:c>
      <x:c r="Z148" s="47" t="str">
        <x:f>IF(OR(K148="",L148="",N148=""),"",ABS(L148-N148)*K148)</x:f>
      </x:c>
      <x:c r="AA148" s="52" t="str">
        <x:f>IFERROR(Y148/Z148,"")</x:f>
      </x:c>
      <x:c r="AB148" s="26"/>
      <x:c r="AC148" s="26"/>
      <x:c r="AD148" s="55"/>
    </x:row>
    <x:row r="149">
      <x:c r="A149" s="26"/>
      <x:c r="B149" s="26"/>
      <x:c r="C149" s="35"/>
      <x:c r="D149" s="39"/>
      <x:c r="E149" s="39"/>
      <x:c r="F149" s="26"/>
      <x:c r="G149" s="26"/>
      <x:c r="H149" s="26"/>
      <x:c r="I149" s="26"/>
      <x:c r="J149" s="26"/>
      <x:c r="K149" s="43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7" t="str">
        <x:f>IF(OR(J149="",K149="",L149="",M149=""),"",IF(J149="Long",(M149-L149)*K149,(L149-M149)*K149))</x:f>
      </x:c>
      <x:c r="X149" s="47" t="str">
        <x:f>IF(COUNTA(S149:V149)=0,"",SUM(S149:V149))</x:f>
      </x:c>
      <x:c r="Y149" s="47" t="str">
        <x:f>IF(W149="","",W149-IF(X149="",0,X149))</x:f>
      </x:c>
      <x:c r="Z149" s="47" t="str">
        <x:f>IF(OR(K149="",L149="",N149=""),"",ABS(L149-N149)*K149)</x:f>
      </x:c>
      <x:c r="AA149" s="52" t="str">
        <x:f>IFERROR(Y149/Z149,"")</x:f>
      </x:c>
      <x:c r="AB149" s="26"/>
      <x:c r="AC149" s="26"/>
      <x:c r="AD149" s="55"/>
    </x:row>
    <x:row r="150">
      <x:c r="A150" s="26"/>
      <x:c r="B150" s="26"/>
      <x:c r="C150" s="35"/>
      <x:c r="D150" s="39"/>
      <x:c r="E150" s="39"/>
      <x:c r="F150" s="26"/>
      <x:c r="G150" s="26"/>
      <x:c r="H150" s="26"/>
      <x:c r="I150" s="26"/>
      <x:c r="J150" s="26"/>
      <x:c r="K150" s="43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7" t="str">
        <x:f>IF(OR(J150="",K150="",L150="",M150=""),"",IF(J150="Long",(M150-L150)*K150,(L150-M150)*K150))</x:f>
      </x:c>
      <x:c r="X150" s="47" t="str">
        <x:f>IF(COUNTA(S150:V150)=0,"",SUM(S150:V150))</x:f>
      </x:c>
      <x:c r="Y150" s="47" t="str">
        <x:f>IF(W150="","",W150-IF(X150="",0,X150))</x:f>
      </x:c>
      <x:c r="Z150" s="47" t="str">
        <x:f>IF(OR(K150="",L150="",N150=""),"",ABS(L150-N150)*K150)</x:f>
      </x:c>
      <x:c r="AA150" s="52" t="str">
        <x:f>IFERROR(Y150/Z150,"")</x:f>
      </x:c>
      <x:c r="AB150" s="26"/>
      <x:c r="AC150" s="26"/>
      <x:c r="AD150" s="55"/>
    </x:row>
    <x:row r="151">
      <x:c r="A151" s="26"/>
      <x:c r="B151" s="26"/>
      <x:c r="C151" s="35"/>
      <x:c r="D151" s="39"/>
      <x:c r="E151" s="39"/>
      <x:c r="F151" s="26"/>
      <x:c r="G151" s="26"/>
      <x:c r="H151" s="26"/>
      <x:c r="I151" s="26"/>
      <x:c r="J151" s="26"/>
      <x:c r="K151" s="43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7" t="str">
        <x:f>IF(OR(J151="",K151="",L151="",M151=""),"",IF(J151="Long",(M151-L151)*K151,(L151-M151)*K151))</x:f>
      </x:c>
      <x:c r="X151" s="47" t="str">
        <x:f>IF(COUNTA(S151:V151)=0,"",SUM(S151:V151))</x:f>
      </x:c>
      <x:c r="Y151" s="47" t="str">
        <x:f>IF(W151="","",W151-IF(X151="",0,X151))</x:f>
      </x:c>
      <x:c r="Z151" s="47" t="str">
        <x:f>IF(OR(K151="",L151="",N151=""),"",ABS(L151-N151)*K151)</x:f>
      </x:c>
      <x:c r="AA151" s="52" t="str">
        <x:f>IFERROR(Y151/Z151,"")</x:f>
      </x:c>
      <x:c r="AB151" s="26"/>
      <x:c r="AC151" s="26"/>
      <x:c r="AD151" s="55"/>
    </x:row>
    <x:row r="152">
      <x:c r="A152" s="26"/>
      <x:c r="B152" s="26"/>
      <x:c r="C152" s="35"/>
      <x:c r="D152" s="39"/>
      <x:c r="E152" s="39"/>
      <x:c r="F152" s="26"/>
      <x:c r="G152" s="26"/>
      <x:c r="H152" s="26"/>
      <x:c r="I152" s="26"/>
      <x:c r="J152" s="26"/>
      <x:c r="K152" s="43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7" t="str">
        <x:f>IF(OR(J152="",K152="",L152="",M152=""),"",IF(J152="Long",(M152-L152)*K152,(L152-M152)*K152))</x:f>
      </x:c>
      <x:c r="X152" s="47" t="str">
        <x:f>IF(COUNTA(S152:V152)=0,"",SUM(S152:V152))</x:f>
      </x:c>
      <x:c r="Y152" s="47" t="str">
        <x:f>IF(W152="","",W152-IF(X152="",0,X152))</x:f>
      </x:c>
      <x:c r="Z152" s="47" t="str">
        <x:f>IF(OR(K152="",L152="",N152=""),"",ABS(L152-N152)*K152)</x:f>
      </x:c>
      <x:c r="AA152" s="52" t="str">
        <x:f>IFERROR(Y152/Z152,"")</x:f>
      </x:c>
      <x:c r="AB152" s="26"/>
      <x:c r="AC152" s="26"/>
      <x:c r="AD152" s="55"/>
    </x:row>
    <x:row r="153">
      <x:c r="A153" s="26"/>
      <x:c r="B153" s="26"/>
      <x:c r="C153" s="35"/>
      <x:c r="D153" s="39"/>
      <x:c r="E153" s="39"/>
      <x:c r="F153" s="26"/>
      <x:c r="G153" s="26"/>
      <x:c r="H153" s="26"/>
      <x:c r="I153" s="26"/>
      <x:c r="J153" s="26"/>
      <x:c r="K153" s="43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7" t="str">
        <x:f>IF(OR(J153="",K153="",L153="",M153=""),"",IF(J153="Long",(M153-L153)*K153,(L153-M153)*K153))</x:f>
      </x:c>
      <x:c r="X153" s="47" t="str">
        <x:f>IF(COUNTA(S153:V153)=0,"",SUM(S153:V153))</x:f>
      </x:c>
      <x:c r="Y153" s="47" t="str">
        <x:f>IF(W153="","",W153-IF(X153="",0,X153))</x:f>
      </x:c>
      <x:c r="Z153" s="47" t="str">
        <x:f>IF(OR(K153="",L153="",N153=""),"",ABS(L153-N153)*K153)</x:f>
      </x:c>
      <x:c r="AA153" s="52" t="str">
        <x:f>IFERROR(Y153/Z153,"")</x:f>
      </x:c>
      <x:c r="AB153" s="26"/>
      <x:c r="AC153" s="26"/>
      <x:c r="AD153" s="55"/>
    </x:row>
    <x:row r="154">
      <x:c r="A154" s="26"/>
      <x:c r="B154" s="26"/>
      <x:c r="C154" s="35"/>
      <x:c r="D154" s="39"/>
      <x:c r="E154" s="39"/>
      <x:c r="F154" s="26"/>
      <x:c r="G154" s="26"/>
      <x:c r="H154" s="26"/>
      <x:c r="I154" s="26"/>
      <x:c r="J154" s="26"/>
      <x:c r="K154" s="43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7" t="str">
        <x:f>IF(OR(J154="",K154="",L154="",M154=""),"",IF(J154="Long",(M154-L154)*K154,(L154-M154)*K154))</x:f>
      </x:c>
      <x:c r="X154" s="47" t="str">
        <x:f>IF(COUNTA(S154:V154)=0,"",SUM(S154:V154))</x:f>
      </x:c>
      <x:c r="Y154" s="47" t="str">
        <x:f>IF(W154="","",W154-IF(X154="",0,X154))</x:f>
      </x:c>
      <x:c r="Z154" s="47" t="str">
        <x:f>IF(OR(K154="",L154="",N154=""),"",ABS(L154-N154)*K154)</x:f>
      </x:c>
      <x:c r="AA154" s="52" t="str">
        <x:f>IFERROR(Y154/Z154,"")</x:f>
      </x:c>
      <x:c r="AB154" s="26"/>
      <x:c r="AC154" s="26"/>
      <x:c r="AD154" s="55"/>
    </x:row>
    <x:row r="155">
      <x:c r="A155" s="26"/>
      <x:c r="B155" s="26"/>
      <x:c r="C155" s="35"/>
      <x:c r="D155" s="39"/>
      <x:c r="E155" s="39"/>
      <x:c r="F155" s="26"/>
      <x:c r="G155" s="26"/>
      <x:c r="H155" s="26"/>
      <x:c r="I155" s="26"/>
      <x:c r="J155" s="26"/>
      <x:c r="K155" s="43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7" t="str">
        <x:f>IF(OR(J155="",K155="",L155="",M155=""),"",IF(J155="Long",(M155-L155)*K155,(L155-M155)*K155))</x:f>
      </x:c>
      <x:c r="X155" s="47" t="str">
        <x:f>IF(COUNTA(S155:V155)=0,"",SUM(S155:V155))</x:f>
      </x:c>
      <x:c r="Y155" s="47" t="str">
        <x:f>IF(W155="","",W155-IF(X155="",0,X155))</x:f>
      </x:c>
      <x:c r="Z155" s="47" t="str">
        <x:f>IF(OR(K155="",L155="",N155=""),"",ABS(L155-N155)*K155)</x:f>
      </x:c>
      <x:c r="AA155" s="52" t="str">
        <x:f>IFERROR(Y155/Z155,"")</x:f>
      </x:c>
      <x:c r="AB155" s="26"/>
      <x:c r="AC155" s="26"/>
      <x:c r="AD155" s="55"/>
    </x:row>
    <x:row r="156">
      <x:c r="A156" s="26"/>
      <x:c r="B156" s="26"/>
      <x:c r="C156" s="35"/>
      <x:c r="D156" s="39"/>
      <x:c r="E156" s="39"/>
      <x:c r="F156" s="26"/>
      <x:c r="G156" s="26"/>
      <x:c r="H156" s="26"/>
      <x:c r="I156" s="26"/>
      <x:c r="J156" s="26"/>
      <x:c r="K156" s="43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7" t="str">
        <x:f>IF(OR(J156="",K156="",L156="",M156=""),"",IF(J156="Long",(M156-L156)*K156,(L156-M156)*K156))</x:f>
      </x:c>
      <x:c r="X156" s="47" t="str">
        <x:f>IF(COUNTA(S156:V156)=0,"",SUM(S156:V156))</x:f>
      </x:c>
      <x:c r="Y156" s="47" t="str">
        <x:f>IF(W156="","",W156-IF(X156="",0,X156))</x:f>
      </x:c>
      <x:c r="Z156" s="47" t="str">
        <x:f>IF(OR(K156="",L156="",N156=""),"",ABS(L156-N156)*K156)</x:f>
      </x:c>
      <x:c r="AA156" s="52" t="str">
        <x:f>IFERROR(Y156/Z156,"")</x:f>
      </x:c>
      <x:c r="AB156" s="26"/>
      <x:c r="AC156" s="26"/>
      <x:c r="AD156" s="55"/>
    </x:row>
    <x:row r="157">
      <x:c r="A157" s="26"/>
      <x:c r="B157" s="26"/>
      <x:c r="C157" s="35"/>
      <x:c r="D157" s="39"/>
      <x:c r="E157" s="39"/>
      <x:c r="F157" s="26"/>
      <x:c r="G157" s="26"/>
      <x:c r="H157" s="26"/>
      <x:c r="I157" s="26"/>
      <x:c r="J157" s="26"/>
      <x:c r="K157" s="43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7" t="str">
        <x:f>IF(OR(J157="",K157="",L157="",M157=""),"",IF(J157="Long",(M157-L157)*K157,(L157-M157)*K157))</x:f>
      </x:c>
      <x:c r="X157" s="47" t="str">
        <x:f>IF(COUNTA(S157:V157)=0,"",SUM(S157:V157))</x:f>
      </x:c>
      <x:c r="Y157" s="47" t="str">
        <x:f>IF(W157="","",W157-IF(X157="",0,X157))</x:f>
      </x:c>
      <x:c r="Z157" s="47" t="str">
        <x:f>IF(OR(K157="",L157="",N157=""),"",ABS(L157-N157)*K157)</x:f>
      </x:c>
      <x:c r="AA157" s="52" t="str">
        <x:f>IFERROR(Y157/Z157,"")</x:f>
      </x:c>
      <x:c r="AB157" s="26"/>
      <x:c r="AC157" s="26"/>
      <x:c r="AD157" s="55"/>
    </x:row>
    <x:row r="158">
      <x:c r="A158" s="26"/>
      <x:c r="B158" s="26"/>
      <x:c r="C158" s="35"/>
      <x:c r="D158" s="39"/>
      <x:c r="E158" s="39"/>
      <x:c r="F158" s="26"/>
      <x:c r="G158" s="26"/>
      <x:c r="H158" s="26"/>
      <x:c r="I158" s="26"/>
      <x:c r="J158" s="26"/>
      <x:c r="K158" s="43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7" t="str">
        <x:f>IF(OR(J158="",K158="",L158="",M158=""),"",IF(J158="Long",(M158-L158)*K158,(L158-M158)*K158))</x:f>
      </x:c>
      <x:c r="X158" s="47" t="str">
        <x:f>IF(COUNTA(S158:V158)=0,"",SUM(S158:V158))</x:f>
      </x:c>
      <x:c r="Y158" s="47" t="str">
        <x:f>IF(W158="","",W158-IF(X158="",0,X158))</x:f>
      </x:c>
      <x:c r="Z158" s="47" t="str">
        <x:f>IF(OR(K158="",L158="",N158=""),"",ABS(L158-N158)*K158)</x:f>
      </x:c>
      <x:c r="AA158" s="52" t="str">
        <x:f>IFERROR(Y158/Z158,"")</x:f>
      </x:c>
      <x:c r="AB158" s="26"/>
      <x:c r="AC158" s="26"/>
      <x:c r="AD158" s="55"/>
    </x:row>
    <x:row r="159">
      <x:c r="A159" s="26"/>
      <x:c r="B159" s="26"/>
      <x:c r="C159" s="35"/>
      <x:c r="D159" s="39"/>
      <x:c r="E159" s="39"/>
      <x:c r="F159" s="26"/>
      <x:c r="G159" s="26"/>
      <x:c r="H159" s="26"/>
      <x:c r="I159" s="26"/>
      <x:c r="J159" s="26"/>
      <x:c r="K159" s="43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7" t="str">
        <x:f>IF(OR(J159="",K159="",L159="",M159=""),"",IF(J159="Long",(M159-L159)*K159,(L159-M159)*K159))</x:f>
      </x:c>
      <x:c r="X159" s="47" t="str">
        <x:f>IF(COUNTA(S159:V159)=0,"",SUM(S159:V159))</x:f>
      </x:c>
      <x:c r="Y159" s="47" t="str">
        <x:f>IF(W159="","",W159-IF(X159="",0,X159))</x:f>
      </x:c>
      <x:c r="Z159" s="47" t="str">
        <x:f>IF(OR(K159="",L159="",N159=""),"",ABS(L159-N159)*K159)</x:f>
      </x:c>
      <x:c r="AA159" s="52" t="str">
        <x:f>IFERROR(Y159/Z159,"")</x:f>
      </x:c>
      <x:c r="AB159" s="26"/>
      <x:c r="AC159" s="26"/>
      <x:c r="AD159" s="55"/>
    </x:row>
    <x:row r="160">
      <x:c r="A160" s="26"/>
      <x:c r="B160" s="26"/>
      <x:c r="C160" s="35"/>
      <x:c r="D160" s="39"/>
      <x:c r="E160" s="39"/>
      <x:c r="F160" s="26"/>
      <x:c r="G160" s="26"/>
      <x:c r="H160" s="26"/>
      <x:c r="I160" s="26"/>
      <x:c r="J160" s="26"/>
      <x:c r="K160" s="43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7" t="str">
        <x:f>IF(OR(J160="",K160="",L160="",M160=""),"",IF(J160="Long",(M160-L160)*K160,(L160-M160)*K160))</x:f>
      </x:c>
      <x:c r="X160" s="47" t="str">
        <x:f>IF(COUNTA(S160:V160)=0,"",SUM(S160:V160))</x:f>
      </x:c>
      <x:c r="Y160" s="47" t="str">
        <x:f>IF(W160="","",W160-IF(X160="",0,X160))</x:f>
      </x:c>
      <x:c r="Z160" s="47" t="str">
        <x:f>IF(OR(K160="",L160="",N160=""),"",ABS(L160-N160)*K160)</x:f>
      </x:c>
      <x:c r="AA160" s="52" t="str">
        <x:f>IFERROR(Y160/Z160,"")</x:f>
      </x:c>
      <x:c r="AB160" s="26"/>
      <x:c r="AC160" s="26"/>
      <x:c r="AD160" s="55"/>
    </x:row>
    <x:row r="161">
      <x:c r="A161" s="26"/>
      <x:c r="B161" s="26"/>
      <x:c r="C161" s="35"/>
      <x:c r="D161" s="39"/>
      <x:c r="E161" s="39"/>
      <x:c r="F161" s="26"/>
      <x:c r="G161" s="26"/>
      <x:c r="H161" s="26"/>
      <x:c r="I161" s="26"/>
      <x:c r="J161" s="26"/>
      <x:c r="K161" s="43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7" t="str">
        <x:f>IF(OR(J161="",K161="",L161="",M161=""),"",IF(J161="Long",(M161-L161)*K161,(L161-M161)*K161))</x:f>
      </x:c>
      <x:c r="X161" s="47" t="str">
        <x:f>IF(COUNTA(S161:V161)=0,"",SUM(S161:V161))</x:f>
      </x:c>
      <x:c r="Y161" s="47" t="str">
        <x:f>IF(W161="","",W161-IF(X161="",0,X161))</x:f>
      </x:c>
      <x:c r="Z161" s="47" t="str">
        <x:f>IF(OR(K161="",L161="",N161=""),"",ABS(L161-N161)*K161)</x:f>
      </x:c>
      <x:c r="AA161" s="52" t="str">
        <x:f>IFERROR(Y161/Z161,"")</x:f>
      </x:c>
      <x:c r="AB161" s="26"/>
      <x:c r="AC161" s="26"/>
      <x:c r="AD161" s="55"/>
    </x:row>
    <x:row r="162">
      <x:c r="A162" s="26"/>
      <x:c r="B162" s="26"/>
      <x:c r="C162" s="35"/>
      <x:c r="D162" s="39"/>
      <x:c r="E162" s="39"/>
      <x:c r="F162" s="26"/>
      <x:c r="G162" s="26"/>
      <x:c r="H162" s="26"/>
      <x:c r="I162" s="26"/>
      <x:c r="J162" s="26"/>
      <x:c r="K162" s="43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7" t="str">
        <x:f>IF(OR(J162="",K162="",L162="",M162=""),"",IF(J162="Long",(M162-L162)*K162,(L162-M162)*K162))</x:f>
      </x:c>
      <x:c r="X162" s="47" t="str">
        <x:f>IF(COUNTA(S162:V162)=0,"",SUM(S162:V162))</x:f>
      </x:c>
      <x:c r="Y162" s="47" t="str">
        <x:f>IF(W162="","",W162-IF(X162="",0,X162))</x:f>
      </x:c>
      <x:c r="Z162" s="47" t="str">
        <x:f>IF(OR(K162="",L162="",N162=""),"",ABS(L162-N162)*K162)</x:f>
      </x:c>
      <x:c r="AA162" s="52" t="str">
        <x:f>IFERROR(Y162/Z162,"")</x:f>
      </x:c>
      <x:c r="AB162" s="26"/>
      <x:c r="AC162" s="26"/>
      <x:c r="AD162" s="55"/>
    </x:row>
    <x:row r="163">
      <x:c r="A163" s="26"/>
      <x:c r="B163" s="26"/>
      <x:c r="C163" s="35"/>
      <x:c r="D163" s="39"/>
      <x:c r="E163" s="39"/>
      <x:c r="F163" s="26"/>
      <x:c r="G163" s="26"/>
      <x:c r="H163" s="26"/>
      <x:c r="I163" s="26"/>
      <x:c r="J163" s="26"/>
      <x:c r="K163" s="43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7" t="str">
        <x:f>IF(OR(J163="",K163="",L163="",M163=""),"",IF(J163="Long",(M163-L163)*K163,(L163-M163)*K163))</x:f>
      </x:c>
      <x:c r="X163" s="47" t="str">
        <x:f>IF(COUNTA(S163:V163)=0,"",SUM(S163:V163))</x:f>
      </x:c>
      <x:c r="Y163" s="47" t="str">
        <x:f>IF(W163="","",W163-IF(X163="",0,X163))</x:f>
      </x:c>
      <x:c r="Z163" s="47" t="str">
        <x:f>IF(OR(K163="",L163="",N163=""),"",ABS(L163-N163)*K163)</x:f>
      </x:c>
      <x:c r="AA163" s="52" t="str">
        <x:f>IFERROR(Y163/Z163,"")</x:f>
      </x:c>
      <x:c r="AB163" s="26"/>
      <x:c r="AC163" s="26"/>
      <x:c r="AD163" s="55"/>
    </x:row>
    <x:row r="164">
      <x:c r="A164" s="26"/>
      <x:c r="B164" s="26"/>
      <x:c r="C164" s="35"/>
      <x:c r="D164" s="39"/>
      <x:c r="E164" s="39"/>
      <x:c r="F164" s="26"/>
      <x:c r="G164" s="26"/>
      <x:c r="H164" s="26"/>
      <x:c r="I164" s="26"/>
      <x:c r="J164" s="26"/>
      <x:c r="K164" s="43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7" t="str">
        <x:f>IF(OR(J164="",K164="",L164="",M164=""),"",IF(J164="Long",(M164-L164)*K164,(L164-M164)*K164))</x:f>
      </x:c>
      <x:c r="X164" s="47" t="str">
        <x:f>IF(COUNTA(S164:V164)=0,"",SUM(S164:V164))</x:f>
      </x:c>
      <x:c r="Y164" s="47" t="str">
        <x:f>IF(W164="","",W164-IF(X164="",0,X164))</x:f>
      </x:c>
      <x:c r="Z164" s="47" t="str">
        <x:f>IF(OR(K164="",L164="",N164=""),"",ABS(L164-N164)*K164)</x:f>
      </x:c>
      <x:c r="AA164" s="52" t="str">
        <x:f>IFERROR(Y164/Z164,"")</x:f>
      </x:c>
      <x:c r="AB164" s="26"/>
      <x:c r="AC164" s="26"/>
      <x:c r="AD164" s="55"/>
    </x:row>
    <x:row r="165">
      <x:c r="A165" s="26"/>
      <x:c r="B165" s="26"/>
      <x:c r="C165" s="35"/>
      <x:c r="D165" s="39"/>
      <x:c r="E165" s="39"/>
      <x:c r="F165" s="26"/>
      <x:c r="G165" s="26"/>
      <x:c r="H165" s="26"/>
      <x:c r="I165" s="26"/>
      <x:c r="J165" s="26"/>
      <x:c r="K165" s="43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7" t="str">
        <x:f>IF(OR(J165="",K165="",L165="",M165=""),"",IF(J165="Long",(M165-L165)*K165,(L165-M165)*K165))</x:f>
      </x:c>
      <x:c r="X165" s="47" t="str">
        <x:f>IF(COUNTA(S165:V165)=0,"",SUM(S165:V165))</x:f>
      </x:c>
      <x:c r="Y165" s="47" t="str">
        <x:f>IF(W165="","",W165-IF(X165="",0,X165))</x:f>
      </x:c>
      <x:c r="Z165" s="47" t="str">
        <x:f>IF(OR(K165="",L165="",N165=""),"",ABS(L165-N165)*K165)</x:f>
      </x:c>
      <x:c r="AA165" s="52" t="str">
        <x:f>IFERROR(Y165/Z165,"")</x:f>
      </x:c>
      <x:c r="AB165" s="26"/>
      <x:c r="AC165" s="26"/>
      <x:c r="AD165" s="55"/>
    </x:row>
    <x:row r="166">
      <x:c r="A166" s="26"/>
      <x:c r="B166" s="26"/>
      <x:c r="C166" s="35"/>
      <x:c r="D166" s="39"/>
      <x:c r="E166" s="39"/>
      <x:c r="F166" s="26"/>
      <x:c r="G166" s="26"/>
      <x:c r="H166" s="26"/>
      <x:c r="I166" s="26"/>
      <x:c r="J166" s="26"/>
      <x:c r="K166" s="43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7" t="str">
        <x:f>IF(OR(J166="",K166="",L166="",M166=""),"",IF(J166="Long",(M166-L166)*K166,(L166-M166)*K166))</x:f>
      </x:c>
      <x:c r="X166" s="47" t="str">
        <x:f>IF(COUNTA(S166:V166)=0,"",SUM(S166:V166))</x:f>
      </x:c>
      <x:c r="Y166" s="47" t="str">
        <x:f>IF(W166="","",W166-IF(X166="",0,X166))</x:f>
      </x:c>
      <x:c r="Z166" s="47" t="str">
        <x:f>IF(OR(K166="",L166="",N166=""),"",ABS(L166-N166)*K166)</x:f>
      </x:c>
      <x:c r="AA166" s="52" t="str">
        <x:f>IFERROR(Y166/Z166,"")</x:f>
      </x:c>
      <x:c r="AB166" s="26"/>
      <x:c r="AC166" s="26"/>
      <x:c r="AD166" s="55"/>
    </x:row>
    <x:row r="167">
      <x:c r="A167" s="26"/>
      <x:c r="B167" s="26"/>
      <x:c r="C167" s="35"/>
      <x:c r="D167" s="39"/>
      <x:c r="E167" s="39"/>
      <x:c r="F167" s="26"/>
      <x:c r="G167" s="26"/>
      <x:c r="H167" s="26"/>
      <x:c r="I167" s="26"/>
      <x:c r="J167" s="26"/>
      <x:c r="K167" s="43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7" t="str">
        <x:f>IF(OR(J167="",K167="",L167="",M167=""),"",IF(J167="Long",(M167-L167)*K167,(L167-M167)*K167))</x:f>
      </x:c>
      <x:c r="X167" s="47" t="str">
        <x:f>IF(COUNTA(S167:V167)=0,"",SUM(S167:V167))</x:f>
      </x:c>
      <x:c r="Y167" s="47" t="str">
        <x:f>IF(W167="","",W167-IF(X167="",0,X167))</x:f>
      </x:c>
      <x:c r="Z167" s="47" t="str">
        <x:f>IF(OR(K167="",L167="",N167=""),"",ABS(L167-N167)*K167)</x:f>
      </x:c>
      <x:c r="AA167" s="52" t="str">
        <x:f>IFERROR(Y167/Z167,"")</x:f>
      </x:c>
      <x:c r="AB167" s="26"/>
      <x:c r="AC167" s="26"/>
      <x:c r="AD167" s="55"/>
    </x:row>
    <x:row r="168">
      <x:c r="A168" s="26"/>
      <x:c r="B168" s="26"/>
      <x:c r="C168" s="35"/>
      <x:c r="D168" s="39"/>
      <x:c r="E168" s="39"/>
      <x:c r="F168" s="26"/>
      <x:c r="G168" s="26"/>
      <x:c r="H168" s="26"/>
      <x:c r="I168" s="26"/>
      <x:c r="J168" s="26"/>
      <x:c r="K168" s="43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7" t="str">
        <x:f>IF(OR(J168="",K168="",L168="",M168=""),"",IF(J168="Long",(M168-L168)*K168,(L168-M168)*K168))</x:f>
      </x:c>
      <x:c r="X168" s="47" t="str">
        <x:f>IF(COUNTA(S168:V168)=0,"",SUM(S168:V168))</x:f>
      </x:c>
      <x:c r="Y168" s="47" t="str">
        <x:f>IF(W168="","",W168-IF(X168="",0,X168))</x:f>
      </x:c>
      <x:c r="Z168" s="47" t="str">
        <x:f>IF(OR(K168="",L168="",N168=""),"",ABS(L168-N168)*K168)</x:f>
      </x:c>
      <x:c r="AA168" s="52" t="str">
        <x:f>IFERROR(Y168/Z168,"")</x:f>
      </x:c>
      <x:c r="AB168" s="26"/>
      <x:c r="AC168" s="26"/>
      <x:c r="AD168" s="55"/>
    </x:row>
    <x:row r="169">
      <x:c r="A169" s="26"/>
      <x:c r="B169" s="26"/>
      <x:c r="C169" s="35"/>
      <x:c r="D169" s="39"/>
      <x:c r="E169" s="39"/>
      <x:c r="F169" s="26"/>
      <x:c r="G169" s="26"/>
      <x:c r="H169" s="26"/>
      <x:c r="I169" s="26"/>
      <x:c r="J169" s="26"/>
      <x:c r="K169" s="43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7" t="str">
        <x:f>IF(OR(J169="",K169="",L169="",M169=""),"",IF(J169="Long",(M169-L169)*K169,(L169-M169)*K169))</x:f>
      </x:c>
      <x:c r="X169" s="47" t="str">
        <x:f>IF(COUNTA(S169:V169)=0,"",SUM(S169:V169))</x:f>
      </x:c>
      <x:c r="Y169" s="47" t="str">
        <x:f>IF(W169="","",W169-IF(X169="",0,X169))</x:f>
      </x:c>
      <x:c r="Z169" s="47" t="str">
        <x:f>IF(OR(K169="",L169="",N169=""),"",ABS(L169-N169)*K169)</x:f>
      </x:c>
      <x:c r="AA169" s="52" t="str">
        <x:f>IFERROR(Y169/Z169,"")</x:f>
      </x:c>
      <x:c r="AB169" s="26"/>
      <x:c r="AC169" s="26"/>
      <x:c r="AD169" s="55"/>
    </x:row>
    <x:row r="170">
      <x:c r="A170" s="26"/>
      <x:c r="B170" s="26"/>
      <x:c r="C170" s="35"/>
      <x:c r="D170" s="39"/>
      <x:c r="E170" s="39"/>
      <x:c r="F170" s="26"/>
      <x:c r="G170" s="26"/>
      <x:c r="H170" s="26"/>
      <x:c r="I170" s="26"/>
      <x:c r="J170" s="26"/>
      <x:c r="K170" s="43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7" t="str">
        <x:f>IF(OR(J170="",K170="",L170="",M170=""),"",IF(J170="Long",(M170-L170)*K170,(L170-M170)*K170))</x:f>
      </x:c>
      <x:c r="X170" s="47" t="str">
        <x:f>IF(COUNTA(S170:V170)=0,"",SUM(S170:V170))</x:f>
      </x:c>
      <x:c r="Y170" s="47" t="str">
        <x:f>IF(W170="","",W170-IF(X170="",0,X170))</x:f>
      </x:c>
      <x:c r="Z170" s="47" t="str">
        <x:f>IF(OR(K170="",L170="",N170=""),"",ABS(L170-N170)*K170)</x:f>
      </x:c>
      <x:c r="AA170" s="52" t="str">
        <x:f>IFERROR(Y170/Z170,"")</x:f>
      </x:c>
      <x:c r="AB170" s="26"/>
      <x:c r="AC170" s="26"/>
      <x:c r="AD170" s="55"/>
    </x:row>
    <x:row r="171">
      <x:c r="A171" s="26"/>
      <x:c r="B171" s="26"/>
      <x:c r="C171" s="35"/>
      <x:c r="D171" s="39"/>
      <x:c r="E171" s="39"/>
      <x:c r="F171" s="26"/>
      <x:c r="G171" s="26"/>
      <x:c r="H171" s="26"/>
      <x:c r="I171" s="26"/>
      <x:c r="J171" s="26"/>
      <x:c r="K171" s="43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7" t="str">
        <x:f>IF(OR(J171="",K171="",L171="",M171=""),"",IF(J171="Long",(M171-L171)*K171,(L171-M171)*K171))</x:f>
      </x:c>
      <x:c r="X171" s="47" t="str">
        <x:f>IF(COUNTA(S171:V171)=0,"",SUM(S171:V171))</x:f>
      </x:c>
      <x:c r="Y171" s="47" t="str">
        <x:f>IF(W171="","",W171-IF(X171="",0,X171))</x:f>
      </x:c>
      <x:c r="Z171" s="47" t="str">
        <x:f>IF(OR(K171="",L171="",N171=""),"",ABS(L171-N171)*K171)</x:f>
      </x:c>
      <x:c r="AA171" s="52" t="str">
        <x:f>IFERROR(Y171/Z171,"")</x:f>
      </x:c>
      <x:c r="AB171" s="26"/>
      <x:c r="AC171" s="26"/>
      <x:c r="AD171" s="55"/>
    </x:row>
    <x:row r="172">
      <x:c r="A172" s="26"/>
      <x:c r="B172" s="26"/>
      <x:c r="C172" s="35"/>
      <x:c r="D172" s="39"/>
      <x:c r="E172" s="39"/>
      <x:c r="F172" s="26"/>
      <x:c r="G172" s="26"/>
      <x:c r="H172" s="26"/>
      <x:c r="I172" s="26"/>
      <x:c r="J172" s="26"/>
      <x:c r="K172" s="43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7" t="str">
        <x:f>IF(OR(J172="",K172="",L172="",M172=""),"",IF(J172="Long",(M172-L172)*K172,(L172-M172)*K172))</x:f>
      </x:c>
      <x:c r="X172" s="47" t="str">
        <x:f>IF(COUNTA(S172:V172)=0,"",SUM(S172:V172))</x:f>
      </x:c>
      <x:c r="Y172" s="47" t="str">
        <x:f>IF(W172="","",W172-IF(X172="",0,X172))</x:f>
      </x:c>
      <x:c r="Z172" s="47" t="str">
        <x:f>IF(OR(K172="",L172="",N172=""),"",ABS(L172-N172)*K172)</x:f>
      </x:c>
      <x:c r="AA172" s="52" t="str">
        <x:f>IFERROR(Y172/Z172,"")</x:f>
      </x:c>
      <x:c r="AB172" s="26"/>
      <x:c r="AC172" s="26"/>
      <x:c r="AD172" s="55"/>
    </x:row>
    <x:row r="173">
      <x:c r="A173" s="26"/>
      <x:c r="B173" s="26"/>
      <x:c r="C173" s="35"/>
      <x:c r="D173" s="39"/>
      <x:c r="E173" s="39"/>
      <x:c r="F173" s="26"/>
      <x:c r="G173" s="26"/>
      <x:c r="H173" s="26"/>
      <x:c r="I173" s="26"/>
      <x:c r="J173" s="26"/>
      <x:c r="K173" s="43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7" t="str">
        <x:f>IF(OR(J173="",K173="",L173="",M173=""),"",IF(J173="Long",(M173-L173)*K173,(L173-M173)*K173))</x:f>
      </x:c>
      <x:c r="X173" s="47" t="str">
        <x:f>IF(COUNTA(S173:V173)=0,"",SUM(S173:V173))</x:f>
      </x:c>
      <x:c r="Y173" s="47" t="str">
        <x:f>IF(W173="","",W173-IF(X173="",0,X173))</x:f>
      </x:c>
      <x:c r="Z173" s="47" t="str">
        <x:f>IF(OR(K173="",L173="",N173=""),"",ABS(L173-N173)*K173)</x:f>
      </x:c>
      <x:c r="AA173" s="52" t="str">
        <x:f>IFERROR(Y173/Z173,"")</x:f>
      </x:c>
      <x:c r="AB173" s="26"/>
      <x:c r="AC173" s="26"/>
      <x:c r="AD173" s="55"/>
    </x:row>
    <x:row r="174">
      <x:c r="A174" s="26"/>
      <x:c r="B174" s="26"/>
      <x:c r="C174" s="35"/>
      <x:c r="D174" s="39"/>
      <x:c r="E174" s="39"/>
      <x:c r="F174" s="26"/>
      <x:c r="G174" s="26"/>
      <x:c r="H174" s="26"/>
      <x:c r="I174" s="26"/>
      <x:c r="J174" s="26"/>
      <x:c r="K174" s="43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7" t="str">
        <x:f>IF(OR(J174="",K174="",L174="",M174=""),"",IF(J174="Long",(M174-L174)*K174,(L174-M174)*K174))</x:f>
      </x:c>
      <x:c r="X174" s="47" t="str">
        <x:f>IF(COUNTA(S174:V174)=0,"",SUM(S174:V174))</x:f>
      </x:c>
      <x:c r="Y174" s="47" t="str">
        <x:f>IF(W174="","",W174-IF(X174="",0,X174))</x:f>
      </x:c>
      <x:c r="Z174" s="47" t="str">
        <x:f>IF(OR(K174="",L174="",N174=""),"",ABS(L174-N174)*K174)</x:f>
      </x:c>
      <x:c r="AA174" s="52" t="str">
        <x:f>IFERROR(Y174/Z174,"")</x:f>
      </x:c>
      <x:c r="AB174" s="26"/>
      <x:c r="AC174" s="26"/>
      <x:c r="AD174" s="55"/>
    </x:row>
    <x:row r="175">
      <x:c r="A175" s="26"/>
      <x:c r="B175" s="26"/>
      <x:c r="C175" s="35"/>
      <x:c r="D175" s="39"/>
      <x:c r="E175" s="39"/>
      <x:c r="F175" s="26"/>
      <x:c r="G175" s="26"/>
      <x:c r="H175" s="26"/>
      <x:c r="I175" s="26"/>
      <x:c r="J175" s="26"/>
      <x:c r="K175" s="43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7" t="str">
        <x:f>IF(OR(J175="",K175="",L175="",M175=""),"",IF(J175="Long",(M175-L175)*K175,(L175-M175)*K175))</x:f>
      </x:c>
      <x:c r="X175" s="47" t="str">
        <x:f>IF(COUNTA(S175:V175)=0,"",SUM(S175:V175))</x:f>
      </x:c>
      <x:c r="Y175" s="47" t="str">
        <x:f>IF(W175="","",W175-IF(X175="",0,X175))</x:f>
      </x:c>
      <x:c r="Z175" s="47" t="str">
        <x:f>IF(OR(K175="",L175="",N175=""),"",ABS(L175-N175)*K175)</x:f>
      </x:c>
      <x:c r="AA175" s="52" t="str">
        <x:f>IFERROR(Y175/Z175,"")</x:f>
      </x:c>
      <x:c r="AB175" s="26"/>
      <x:c r="AC175" s="26"/>
      <x:c r="AD175" s="55"/>
    </x:row>
    <x:row r="176">
      <x:c r="A176" s="26"/>
      <x:c r="B176" s="26"/>
      <x:c r="C176" s="35"/>
      <x:c r="D176" s="39"/>
      <x:c r="E176" s="39"/>
      <x:c r="F176" s="26"/>
      <x:c r="G176" s="26"/>
      <x:c r="H176" s="26"/>
      <x:c r="I176" s="26"/>
      <x:c r="J176" s="26"/>
      <x:c r="K176" s="43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7" t="str">
        <x:f>IF(OR(J176="",K176="",L176="",M176=""),"",IF(J176="Long",(M176-L176)*K176,(L176-M176)*K176))</x:f>
      </x:c>
      <x:c r="X176" s="47" t="str">
        <x:f>IF(COUNTA(S176:V176)=0,"",SUM(S176:V176))</x:f>
      </x:c>
      <x:c r="Y176" s="47" t="str">
        <x:f>IF(W176="","",W176-IF(X176="",0,X176))</x:f>
      </x:c>
      <x:c r="Z176" s="47" t="str">
        <x:f>IF(OR(K176="",L176="",N176=""),"",ABS(L176-N176)*K176)</x:f>
      </x:c>
      <x:c r="AA176" s="52" t="str">
        <x:f>IFERROR(Y176/Z176,"")</x:f>
      </x:c>
      <x:c r="AB176" s="26"/>
      <x:c r="AC176" s="26"/>
      <x:c r="AD176" s="55"/>
    </x:row>
    <x:row r="177">
      <x:c r="A177" s="26"/>
      <x:c r="B177" s="26"/>
      <x:c r="C177" s="35"/>
      <x:c r="D177" s="39"/>
      <x:c r="E177" s="39"/>
      <x:c r="F177" s="26"/>
      <x:c r="G177" s="26"/>
      <x:c r="H177" s="26"/>
      <x:c r="I177" s="26"/>
      <x:c r="J177" s="26"/>
      <x:c r="K177" s="43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7" t="str">
        <x:f>IF(OR(J177="",K177="",L177="",M177=""),"",IF(J177="Long",(M177-L177)*K177,(L177-M177)*K177))</x:f>
      </x:c>
      <x:c r="X177" s="47" t="str">
        <x:f>IF(COUNTA(S177:V177)=0,"",SUM(S177:V177))</x:f>
      </x:c>
      <x:c r="Y177" s="47" t="str">
        <x:f>IF(W177="","",W177-IF(X177="",0,X177))</x:f>
      </x:c>
      <x:c r="Z177" s="47" t="str">
        <x:f>IF(OR(K177="",L177="",N177=""),"",ABS(L177-N177)*K177)</x:f>
      </x:c>
      <x:c r="AA177" s="52" t="str">
        <x:f>IFERROR(Y177/Z177,"")</x:f>
      </x:c>
      <x:c r="AB177" s="26"/>
      <x:c r="AC177" s="26"/>
      <x:c r="AD177" s="55"/>
    </x:row>
    <x:row r="178">
      <x:c r="A178" s="26"/>
      <x:c r="B178" s="26"/>
      <x:c r="C178" s="35"/>
      <x:c r="D178" s="39"/>
      <x:c r="E178" s="39"/>
      <x:c r="F178" s="26"/>
      <x:c r="G178" s="26"/>
      <x:c r="H178" s="26"/>
      <x:c r="I178" s="26"/>
      <x:c r="J178" s="26"/>
      <x:c r="K178" s="43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7" t="str">
        <x:f>IF(OR(J178="",K178="",L178="",M178=""),"",IF(J178="Long",(M178-L178)*K178,(L178-M178)*K178))</x:f>
      </x:c>
      <x:c r="X178" s="47" t="str">
        <x:f>IF(COUNTA(S178:V178)=0,"",SUM(S178:V178))</x:f>
      </x:c>
      <x:c r="Y178" s="47" t="str">
        <x:f>IF(W178="","",W178-IF(X178="",0,X178))</x:f>
      </x:c>
      <x:c r="Z178" s="47" t="str">
        <x:f>IF(OR(K178="",L178="",N178=""),"",ABS(L178-N178)*K178)</x:f>
      </x:c>
      <x:c r="AA178" s="52" t="str">
        <x:f>IFERROR(Y178/Z178,"")</x:f>
      </x:c>
      <x:c r="AB178" s="26"/>
      <x:c r="AC178" s="26"/>
      <x:c r="AD178" s="55"/>
    </x:row>
    <x:row r="179">
      <x:c r="A179" s="26"/>
      <x:c r="B179" s="26"/>
      <x:c r="C179" s="35"/>
      <x:c r="D179" s="39"/>
      <x:c r="E179" s="39"/>
      <x:c r="F179" s="26"/>
      <x:c r="G179" s="26"/>
      <x:c r="H179" s="26"/>
      <x:c r="I179" s="26"/>
      <x:c r="J179" s="26"/>
      <x:c r="K179" s="43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7" t="str">
        <x:f>IF(OR(J179="",K179="",L179="",M179=""),"",IF(J179="Long",(M179-L179)*K179,(L179-M179)*K179))</x:f>
      </x:c>
      <x:c r="X179" s="47" t="str">
        <x:f>IF(COUNTA(S179:V179)=0,"",SUM(S179:V179))</x:f>
      </x:c>
      <x:c r="Y179" s="47" t="str">
        <x:f>IF(W179="","",W179-IF(X179="",0,X179))</x:f>
      </x:c>
      <x:c r="Z179" s="47" t="str">
        <x:f>IF(OR(K179="",L179="",N179=""),"",ABS(L179-N179)*K179)</x:f>
      </x:c>
      <x:c r="AA179" s="52" t="str">
        <x:f>IFERROR(Y179/Z179,"")</x:f>
      </x:c>
      <x:c r="AB179" s="26"/>
      <x:c r="AC179" s="26"/>
      <x:c r="AD179" s="55"/>
    </x:row>
    <x:row r="180">
      <x:c r="A180" s="26"/>
      <x:c r="B180" s="26"/>
      <x:c r="C180" s="35"/>
      <x:c r="D180" s="39"/>
      <x:c r="E180" s="39"/>
      <x:c r="F180" s="26"/>
      <x:c r="G180" s="26"/>
      <x:c r="H180" s="26"/>
      <x:c r="I180" s="26"/>
      <x:c r="J180" s="26"/>
      <x:c r="K180" s="43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7" t="str">
        <x:f>IF(OR(J180="",K180="",L180="",M180=""),"",IF(J180="Long",(M180-L180)*K180,(L180-M180)*K180))</x:f>
      </x:c>
      <x:c r="X180" s="47" t="str">
        <x:f>IF(COUNTA(S180:V180)=0,"",SUM(S180:V180))</x:f>
      </x:c>
      <x:c r="Y180" s="47" t="str">
        <x:f>IF(W180="","",W180-IF(X180="",0,X180))</x:f>
      </x:c>
      <x:c r="Z180" s="47" t="str">
        <x:f>IF(OR(K180="",L180="",N180=""),"",ABS(L180-N180)*K180)</x:f>
      </x:c>
      <x:c r="AA180" s="52" t="str">
        <x:f>IFERROR(Y180/Z180,"")</x:f>
      </x:c>
      <x:c r="AB180" s="26"/>
      <x:c r="AC180" s="26"/>
      <x:c r="AD180" s="55"/>
    </x:row>
    <x:row r="181">
      <x:c r="A181" s="26"/>
      <x:c r="B181" s="26"/>
      <x:c r="C181" s="35"/>
      <x:c r="D181" s="39"/>
      <x:c r="E181" s="39"/>
      <x:c r="F181" s="26"/>
      <x:c r="G181" s="26"/>
      <x:c r="H181" s="26"/>
      <x:c r="I181" s="26"/>
      <x:c r="J181" s="26"/>
      <x:c r="K181" s="43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7" t="str">
        <x:f>IF(OR(J181="",K181="",L181="",M181=""),"",IF(J181="Long",(M181-L181)*K181,(L181-M181)*K181))</x:f>
      </x:c>
      <x:c r="X181" s="47" t="str">
        <x:f>IF(COUNTA(S181:V181)=0,"",SUM(S181:V181))</x:f>
      </x:c>
      <x:c r="Y181" s="47" t="str">
        <x:f>IF(W181="","",W181-IF(X181="",0,X181))</x:f>
      </x:c>
      <x:c r="Z181" s="47" t="str">
        <x:f>IF(OR(K181="",L181="",N181=""),"",ABS(L181-N181)*K181)</x:f>
      </x:c>
      <x:c r="AA181" s="52" t="str">
        <x:f>IFERROR(Y181/Z181,"")</x:f>
      </x:c>
      <x:c r="AB181" s="26"/>
      <x:c r="AC181" s="26"/>
      <x:c r="AD181" s="55"/>
    </x:row>
    <x:row r="182">
      <x:c r="A182" s="26"/>
      <x:c r="B182" s="26"/>
      <x:c r="C182" s="35"/>
      <x:c r="D182" s="39"/>
      <x:c r="E182" s="39"/>
      <x:c r="F182" s="26"/>
      <x:c r="G182" s="26"/>
      <x:c r="H182" s="26"/>
      <x:c r="I182" s="26"/>
      <x:c r="J182" s="26"/>
      <x:c r="K182" s="43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7" t="str">
        <x:f>IF(OR(J182="",K182="",L182="",M182=""),"",IF(J182="Long",(M182-L182)*K182,(L182-M182)*K182))</x:f>
      </x:c>
      <x:c r="X182" s="47" t="str">
        <x:f>IF(COUNTA(S182:V182)=0,"",SUM(S182:V182))</x:f>
      </x:c>
      <x:c r="Y182" s="47" t="str">
        <x:f>IF(W182="","",W182-IF(X182="",0,X182))</x:f>
      </x:c>
      <x:c r="Z182" s="47" t="str">
        <x:f>IF(OR(K182="",L182="",N182=""),"",ABS(L182-N182)*K182)</x:f>
      </x:c>
      <x:c r="AA182" s="52" t="str">
        <x:f>IFERROR(Y182/Z182,"")</x:f>
      </x:c>
      <x:c r="AB182" s="26"/>
      <x:c r="AC182" s="26"/>
      <x:c r="AD182" s="55"/>
    </x:row>
    <x:row r="183">
      <x:c r="A183" s="26"/>
      <x:c r="B183" s="26"/>
      <x:c r="C183" s="35"/>
      <x:c r="D183" s="39"/>
      <x:c r="E183" s="39"/>
      <x:c r="F183" s="26"/>
      <x:c r="G183" s="26"/>
      <x:c r="H183" s="26"/>
      <x:c r="I183" s="26"/>
      <x:c r="J183" s="26"/>
      <x:c r="K183" s="43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7" t="str">
        <x:f>IF(OR(J183="",K183="",L183="",M183=""),"",IF(J183="Long",(M183-L183)*K183,(L183-M183)*K183))</x:f>
      </x:c>
      <x:c r="X183" s="47" t="str">
        <x:f>IF(COUNTA(S183:V183)=0,"",SUM(S183:V183))</x:f>
      </x:c>
      <x:c r="Y183" s="47" t="str">
        <x:f>IF(W183="","",W183-IF(X183="",0,X183))</x:f>
      </x:c>
      <x:c r="Z183" s="47" t="str">
        <x:f>IF(OR(K183="",L183="",N183=""),"",ABS(L183-N183)*K183)</x:f>
      </x:c>
      <x:c r="AA183" s="52" t="str">
        <x:f>IFERROR(Y183/Z183,"")</x:f>
      </x:c>
      <x:c r="AB183" s="26"/>
      <x:c r="AC183" s="26"/>
      <x:c r="AD183" s="55"/>
    </x:row>
    <x:row r="184">
      <x:c r="A184" s="26"/>
      <x:c r="B184" s="26"/>
      <x:c r="C184" s="35"/>
      <x:c r="D184" s="39"/>
      <x:c r="E184" s="39"/>
      <x:c r="F184" s="26"/>
      <x:c r="G184" s="26"/>
      <x:c r="H184" s="26"/>
      <x:c r="I184" s="26"/>
      <x:c r="J184" s="26"/>
      <x:c r="K184" s="43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7" t="str">
        <x:f>IF(OR(J184="",K184="",L184="",M184=""),"",IF(J184="Long",(M184-L184)*K184,(L184-M184)*K184))</x:f>
      </x:c>
      <x:c r="X184" s="47" t="str">
        <x:f>IF(COUNTA(S184:V184)=0,"",SUM(S184:V184))</x:f>
      </x:c>
      <x:c r="Y184" s="47" t="str">
        <x:f>IF(W184="","",W184-IF(X184="",0,X184))</x:f>
      </x:c>
      <x:c r="Z184" s="47" t="str">
        <x:f>IF(OR(K184="",L184="",N184=""),"",ABS(L184-N184)*K184)</x:f>
      </x:c>
      <x:c r="AA184" s="52" t="str">
        <x:f>IFERROR(Y184/Z184,"")</x:f>
      </x:c>
      <x:c r="AB184" s="26"/>
      <x:c r="AC184" s="26"/>
      <x:c r="AD184" s="55"/>
    </x:row>
    <x:row r="185">
      <x:c r="A185" s="26"/>
      <x:c r="B185" s="26"/>
      <x:c r="C185" s="35"/>
      <x:c r="D185" s="39"/>
      <x:c r="E185" s="39"/>
      <x:c r="F185" s="26"/>
      <x:c r="G185" s="26"/>
      <x:c r="H185" s="26"/>
      <x:c r="I185" s="26"/>
      <x:c r="J185" s="26"/>
      <x:c r="K185" s="43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7" t="str">
        <x:f>IF(OR(J185="",K185="",L185="",M185=""),"",IF(J185="Long",(M185-L185)*K185,(L185-M185)*K185))</x:f>
      </x:c>
      <x:c r="X185" s="47" t="str">
        <x:f>IF(COUNTA(S185:V185)=0,"",SUM(S185:V185))</x:f>
      </x:c>
      <x:c r="Y185" s="47" t="str">
        <x:f>IF(W185="","",W185-IF(X185="",0,X185))</x:f>
      </x:c>
      <x:c r="Z185" s="47" t="str">
        <x:f>IF(OR(K185="",L185="",N185=""),"",ABS(L185-N185)*K185)</x:f>
      </x:c>
      <x:c r="AA185" s="52" t="str">
        <x:f>IFERROR(Y185/Z185,"")</x:f>
      </x:c>
      <x:c r="AB185" s="26"/>
      <x:c r="AC185" s="26"/>
      <x:c r="AD185" s="55"/>
    </x:row>
    <x:row r="186">
      <x:c r="A186" s="26"/>
      <x:c r="B186" s="26"/>
      <x:c r="C186" s="35"/>
      <x:c r="D186" s="39"/>
      <x:c r="E186" s="39"/>
      <x:c r="F186" s="26"/>
      <x:c r="G186" s="26"/>
      <x:c r="H186" s="26"/>
      <x:c r="I186" s="26"/>
      <x:c r="J186" s="26"/>
      <x:c r="K186" s="43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7" t="str">
        <x:f>IF(OR(J186="",K186="",L186="",M186=""),"",IF(J186="Long",(M186-L186)*K186,(L186-M186)*K186))</x:f>
      </x:c>
      <x:c r="X186" s="47" t="str">
        <x:f>IF(COUNTA(S186:V186)=0,"",SUM(S186:V186))</x:f>
      </x:c>
      <x:c r="Y186" s="47" t="str">
        <x:f>IF(W186="","",W186-IF(X186="",0,X186))</x:f>
      </x:c>
      <x:c r="Z186" s="47" t="str">
        <x:f>IF(OR(K186="",L186="",N186=""),"",ABS(L186-N186)*K186)</x:f>
      </x:c>
      <x:c r="AA186" s="52" t="str">
        <x:f>IFERROR(Y186/Z186,"")</x:f>
      </x:c>
      <x:c r="AB186" s="26"/>
      <x:c r="AC186" s="26"/>
      <x:c r="AD186" s="55"/>
    </x:row>
    <x:row r="187">
      <x:c r="A187" s="26"/>
      <x:c r="B187" s="26"/>
      <x:c r="C187" s="35"/>
      <x:c r="D187" s="39"/>
      <x:c r="E187" s="39"/>
      <x:c r="F187" s="26"/>
      <x:c r="G187" s="26"/>
      <x:c r="H187" s="26"/>
      <x:c r="I187" s="26"/>
      <x:c r="J187" s="26"/>
      <x:c r="K187" s="43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7" t="str">
        <x:f>IF(OR(J187="",K187="",L187="",M187=""),"",IF(J187="Long",(M187-L187)*K187,(L187-M187)*K187))</x:f>
      </x:c>
      <x:c r="X187" s="47" t="str">
        <x:f>IF(COUNTA(S187:V187)=0,"",SUM(S187:V187))</x:f>
      </x:c>
      <x:c r="Y187" s="47" t="str">
        <x:f>IF(W187="","",W187-IF(X187="",0,X187))</x:f>
      </x:c>
      <x:c r="Z187" s="47" t="str">
        <x:f>IF(OR(K187="",L187="",N187=""),"",ABS(L187-N187)*K187)</x:f>
      </x:c>
      <x:c r="AA187" s="52" t="str">
        <x:f>IFERROR(Y187/Z187,"")</x:f>
      </x:c>
      <x:c r="AB187" s="26"/>
      <x:c r="AC187" s="26"/>
      <x:c r="AD187" s="55"/>
    </x:row>
    <x:row r="188">
      <x:c r="A188" s="26"/>
      <x:c r="B188" s="26"/>
      <x:c r="C188" s="35"/>
      <x:c r="D188" s="39"/>
      <x:c r="E188" s="39"/>
      <x:c r="F188" s="26"/>
      <x:c r="G188" s="26"/>
      <x:c r="H188" s="26"/>
      <x:c r="I188" s="26"/>
      <x:c r="J188" s="26"/>
      <x:c r="K188" s="43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7" t="str">
        <x:f>IF(OR(J188="",K188="",L188="",M188=""),"",IF(J188="Long",(M188-L188)*K188,(L188-M188)*K188))</x:f>
      </x:c>
      <x:c r="X188" s="47" t="str">
        <x:f>IF(COUNTA(S188:V188)=0,"",SUM(S188:V188))</x:f>
      </x:c>
      <x:c r="Y188" s="47" t="str">
        <x:f>IF(W188="","",W188-IF(X188="",0,X188))</x:f>
      </x:c>
      <x:c r="Z188" s="47" t="str">
        <x:f>IF(OR(K188="",L188="",N188=""),"",ABS(L188-N188)*K188)</x:f>
      </x:c>
      <x:c r="AA188" s="52" t="str">
        <x:f>IFERROR(Y188/Z188,"")</x:f>
      </x:c>
      <x:c r="AB188" s="26"/>
      <x:c r="AC188" s="26"/>
      <x:c r="AD188" s="55"/>
    </x:row>
    <x:row r="189">
      <x:c r="A189" s="26"/>
      <x:c r="B189" s="26"/>
      <x:c r="C189" s="35"/>
      <x:c r="D189" s="39"/>
      <x:c r="E189" s="39"/>
      <x:c r="F189" s="26"/>
      <x:c r="G189" s="26"/>
      <x:c r="H189" s="26"/>
      <x:c r="I189" s="26"/>
      <x:c r="J189" s="26"/>
      <x:c r="K189" s="43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7" t="str">
        <x:f>IF(OR(J189="",K189="",L189="",M189=""),"",IF(J189="Long",(M189-L189)*K189,(L189-M189)*K189))</x:f>
      </x:c>
      <x:c r="X189" s="47" t="str">
        <x:f>IF(COUNTA(S189:V189)=0,"",SUM(S189:V189))</x:f>
      </x:c>
      <x:c r="Y189" s="47" t="str">
        <x:f>IF(W189="","",W189-IF(X189="",0,X189))</x:f>
      </x:c>
      <x:c r="Z189" s="47" t="str">
        <x:f>IF(OR(K189="",L189="",N189=""),"",ABS(L189-N189)*K189)</x:f>
      </x:c>
      <x:c r="AA189" s="52" t="str">
        <x:f>IFERROR(Y189/Z189,"")</x:f>
      </x:c>
      <x:c r="AB189" s="26"/>
      <x:c r="AC189" s="26"/>
      <x:c r="AD189" s="55"/>
    </x:row>
    <x:row r="190">
      <x:c r="A190" s="26"/>
      <x:c r="B190" s="26"/>
      <x:c r="C190" s="35"/>
      <x:c r="D190" s="39"/>
      <x:c r="E190" s="39"/>
      <x:c r="F190" s="26"/>
      <x:c r="G190" s="26"/>
      <x:c r="H190" s="26"/>
      <x:c r="I190" s="26"/>
      <x:c r="J190" s="26"/>
      <x:c r="K190" s="43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7" t="str">
        <x:f>IF(OR(J190="",K190="",L190="",M190=""),"",IF(J190="Long",(M190-L190)*K190,(L190-M190)*K190))</x:f>
      </x:c>
      <x:c r="X190" s="47" t="str">
        <x:f>IF(COUNTA(S190:V190)=0,"",SUM(S190:V190))</x:f>
      </x:c>
      <x:c r="Y190" s="47" t="str">
        <x:f>IF(W190="","",W190-IF(X190="",0,X190))</x:f>
      </x:c>
      <x:c r="Z190" s="47" t="str">
        <x:f>IF(OR(K190="",L190="",N190=""),"",ABS(L190-N190)*K190)</x:f>
      </x:c>
      <x:c r="AA190" s="52" t="str">
        <x:f>IFERROR(Y190/Z190,"")</x:f>
      </x:c>
      <x:c r="AB190" s="26"/>
      <x:c r="AC190" s="26"/>
      <x:c r="AD190" s="55"/>
    </x:row>
    <x:row r="191">
      <x:c r="A191" s="26"/>
      <x:c r="B191" s="26"/>
      <x:c r="C191" s="35"/>
      <x:c r="D191" s="39"/>
      <x:c r="E191" s="39"/>
      <x:c r="F191" s="26"/>
      <x:c r="G191" s="26"/>
      <x:c r="H191" s="26"/>
      <x:c r="I191" s="26"/>
      <x:c r="J191" s="26"/>
      <x:c r="K191" s="43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7" t="str">
        <x:f>IF(OR(J191="",K191="",L191="",M191=""),"",IF(J191="Long",(M191-L191)*K191,(L191-M191)*K191))</x:f>
      </x:c>
      <x:c r="X191" s="47" t="str">
        <x:f>IF(COUNTA(S191:V191)=0,"",SUM(S191:V191))</x:f>
      </x:c>
      <x:c r="Y191" s="47" t="str">
        <x:f>IF(W191="","",W191-IF(X191="",0,X191))</x:f>
      </x:c>
      <x:c r="Z191" s="47" t="str">
        <x:f>IF(OR(K191="",L191="",N191=""),"",ABS(L191-N191)*K191)</x:f>
      </x:c>
      <x:c r="AA191" s="52" t="str">
        <x:f>IFERROR(Y191/Z191,"")</x:f>
      </x:c>
      <x:c r="AB191" s="26"/>
      <x:c r="AC191" s="26"/>
      <x:c r="AD191" s="55"/>
    </x:row>
    <x:row r="192">
      <x:c r="A192" s="26"/>
      <x:c r="B192" s="26"/>
      <x:c r="C192" s="35"/>
      <x:c r="D192" s="39"/>
      <x:c r="E192" s="39"/>
      <x:c r="F192" s="26"/>
      <x:c r="G192" s="26"/>
      <x:c r="H192" s="26"/>
      <x:c r="I192" s="26"/>
      <x:c r="J192" s="26"/>
      <x:c r="K192" s="43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7" t="str">
        <x:f>IF(OR(J192="",K192="",L192="",M192=""),"",IF(J192="Long",(M192-L192)*K192,(L192-M192)*K192))</x:f>
      </x:c>
      <x:c r="X192" s="47" t="str">
        <x:f>IF(COUNTA(S192:V192)=0,"",SUM(S192:V192))</x:f>
      </x:c>
      <x:c r="Y192" s="47" t="str">
        <x:f>IF(W192="","",W192-IF(X192="",0,X192))</x:f>
      </x:c>
      <x:c r="Z192" s="47" t="str">
        <x:f>IF(OR(K192="",L192="",N192=""),"",ABS(L192-N192)*K192)</x:f>
      </x:c>
      <x:c r="AA192" s="52" t="str">
        <x:f>IFERROR(Y192/Z192,"")</x:f>
      </x:c>
      <x:c r="AB192" s="26"/>
      <x:c r="AC192" s="26"/>
      <x:c r="AD192" s="55"/>
    </x:row>
    <x:row r="193">
      <x:c r="A193" s="26"/>
      <x:c r="B193" s="26"/>
      <x:c r="C193" s="35"/>
      <x:c r="D193" s="39"/>
      <x:c r="E193" s="39"/>
      <x:c r="F193" s="26"/>
      <x:c r="G193" s="26"/>
      <x:c r="H193" s="26"/>
      <x:c r="I193" s="26"/>
      <x:c r="J193" s="26"/>
      <x:c r="K193" s="43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7" t="str">
        <x:f>IF(OR(J193="",K193="",L193="",M193=""),"",IF(J193="Long",(M193-L193)*K193,(L193-M193)*K193))</x:f>
      </x:c>
      <x:c r="X193" s="47" t="str">
        <x:f>IF(COUNTA(S193:V193)=0,"",SUM(S193:V193))</x:f>
      </x:c>
      <x:c r="Y193" s="47" t="str">
        <x:f>IF(W193="","",W193-IF(X193="",0,X193))</x:f>
      </x:c>
      <x:c r="Z193" s="47" t="str">
        <x:f>IF(OR(K193="",L193="",N193=""),"",ABS(L193-N193)*K193)</x:f>
      </x:c>
      <x:c r="AA193" s="52" t="str">
        <x:f>IFERROR(Y193/Z193,"")</x:f>
      </x:c>
      <x:c r="AB193" s="26"/>
      <x:c r="AC193" s="26"/>
      <x:c r="AD193" s="55"/>
    </x:row>
    <x:row r="194">
      <x:c r="A194" s="26"/>
      <x:c r="B194" s="26"/>
      <x:c r="C194" s="35"/>
      <x:c r="D194" s="39"/>
      <x:c r="E194" s="39"/>
      <x:c r="F194" s="26"/>
      <x:c r="G194" s="26"/>
      <x:c r="H194" s="26"/>
      <x:c r="I194" s="26"/>
      <x:c r="J194" s="26"/>
      <x:c r="K194" s="43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7" t="str">
        <x:f>IF(OR(J194="",K194="",L194="",M194=""),"",IF(J194="Long",(M194-L194)*K194,(L194-M194)*K194))</x:f>
      </x:c>
      <x:c r="X194" s="47" t="str">
        <x:f>IF(COUNTA(S194:V194)=0,"",SUM(S194:V194))</x:f>
      </x:c>
      <x:c r="Y194" s="47" t="str">
        <x:f>IF(W194="","",W194-IF(X194="",0,X194))</x:f>
      </x:c>
      <x:c r="Z194" s="47" t="str">
        <x:f>IF(OR(K194="",L194="",N194=""),"",ABS(L194-N194)*K194)</x:f>
      </x:c>
      <x:c r="AA194" s="52" t="str">
        <x:f>IFERROR(Y194/Z194,"")</x:f>
      </x:c>
      <x:c r="AB194" s="26"/>
      <x:c r="AC194" s="26"/>
      <x:c r="AD194" s="55"/>
    </x:row>
    <x:row r="195">
      <x:c r="A195" s="26"/>
      <x:c r="B195" s="26"/>
      <x:c r="C195" s="35"/>
      <x:c r="D195" s="39"/>
      <x:c r="E195" s="39"/>
      <x:c r="F195" s="26"/>
      <x:c r="G195" s="26"/>
      <x:c r="H195" s="26"/>
      <x:c r="I195" s="26"/>
      <x:c r="J195" s="26"/>
      <x:c r="K195" s="43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7" t="str">
        <x:f>IF(OR(J195="",K195="",L195="",M195=""),"",IF(J195="Long",(M195-L195)*K195,(L195-M195)*K195))</x:f>
      </x:c>
      <x:c r="X195" s="47" t="str">
        <x:f>IF(COUNTA(S195:V195)=0,"",SUM(S195:V195))</x:f>
      </x:c>
      <x:c r="Y195" s="47" t="str">
        <x:f>IF(W195="","",W195-IF(X195="",0,X195))</x:f>
      </x:c>
      <x:c r="Z195" s="47" t="str">
        <x:f>IF(OR(K195="",L195="",N195=""),"",ABS(L195-N195)*K195)</x:f>
      </x:c>
      <x:c r="AA195" s="52" t="str">
        <x:f>IFERROR(Y195/Z195,"")</x:f>
      </x:c>
      <x:c r="AB195" s="26"/>
      <x:c r="AC195" s="26"/>
      <x:c r="AD195" s="55"/>
    </x:row>
    <x:row r="196">
      <x:c r="A196" s="26"/>
      <x:c r="B196" s="26"/>
      <x:c r="C196" s="35"/>
      <x:c r="D196" s="39"/>
      <x:c r="E196" s="39"/>
      <x:c r="F196" s="26"/>
      <x:c r="G196" s="26"/>
      <x:c r="H196" s="26"/>
      <x:c r="I196" s="26"/>
      <x:c r="J196" s="26"/>
      <x:c r="K196" s="43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7" t="str">
        <x:f>IF(OR(J196="",K196="",L196="",M196=""),"",IF(J196="Long",(M196-L196)*K196,(L196-M196)*K196))</x:f>
      </x:c>
      <x:c r="X196" s="47" t="str">
        <x:f>IF(COUNTA(S196:V196)=0,"",SUM(S196:V196))</x:f>
      </x:c>
      <x:c r="Y196" s="47" t="str">
        <x:f>IF(W196="","",W196-IF(X196="",0,X196))</x:f>
      </x:c>
      <x:c r="Z196" s="47" t="str">
        <x:f>IF(OR(K196="",L196="",N196=""),"",ABS(L196-N196)*K196)</x:f>
      </x:c>
      <x:c r="AA196" s="52" t="str">
        <x:f>IFERROR(Y196/Z196,"")</x:f>
      </x:c>
      <x:c r="AB196" s="26"/>
      <x:c r="AC196" s="26"/>
      <x:c r="AD196" s="55"/>
    </x:row>
    <x:row r="197">
      <x:c r="A197" s="26"/>
      <x:c r="B197" s="26"/>
      <x:c r="C197" s="35"/>
      <x:c r="D197" s="39"/>
      <x:c r="E197" s="39"/>
      <x:c r="F197" s="26"/>
      <x:c r="G197" s="26"/>
      <x:c r="H197" s="26"/>
      <x:c r="I197" s="26"/>
      <x:c r="J197" s="26"/>
      <x:c r="K197" s="43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7" t="str">
        <x:f>IF(OR(J197="",K197="",L197="",M197=""),"",IF(J197="Long",(M197-L197)*K197,(L197-M197)*K197))</x:f>
      </x:c>
      <x:c r="X197" s="47" t="str">
        <x:f>IF(COUNTA(S197:V197)=0,"",SUM(S197:V197))</x:f>
      </x:c>
      <x:c r="Y197" s="47" t="str">
        <x:f>IF(W197="","",W197-IF(X197="",0,X197))</x:f>
      </x:c>
      <x:c r="Z197" s="47" t="str">
        <x:f>IF(OR(K197="",L197="",N197=""),"",ABS(L197-N197)*K197)</x:f>
      </x:c>
      <x:c r="AA197" s="52" t="str">
        <x:f>IFERROR(Y197/Z197,"")</x:f>
      </x:c>
      <x:c r="AB197" s="26"/>
      <x:c r="AC197" s="26"/>
      <x:c r="AD197" s="55"/>
    </x:row>
    <x:row r="198">
      <x:c r="A198" s="26"/>
      <x:c r="B198" s="26"/>
      <x:c r="C198" s="35"/>
      <x:c r="D198" s="39"/>
      <x:c r="E198" s="39"/>
      <x:c r="F198" s="26"/>
      <x:c r="G198" s="26"/>
      <x:c r="H198" s="26"/>
      <x:c r="I198" s="26"/>
      <x:c r="J198" s="26"/>
      <x:c r="K198" s="43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7" t="str">
        <x:f>IF(OR(J198="",K198="",L198="",M198=""),"",IF(J198="Long",(M198-L198)*K198,(L198-M198)*K198))</x:f>
      </x:c>
      <x:c r="X198" s="47" t="str">
        <x:f>IF(COUNTA(S198:V198)=0,"",SUM(S198:V198))</x:f>
      </x:c>
      <x:c r="Y198" s="47" t="str">
        <x:f>IF(W198="","",W198-IF(X198="",0,X198))</x:f>
      </x:c>
      <x:c r="Z198" s="47" t="str">
        <x:f>IF(OR(K198="",L198="",N198=""),"",ABS(L198-N198)*K198)</x:f>
      </x:c>
      <x:c r="AA198" s="52" t="str">
        <x:f>IFERROR(Y198/Z198,"")</x:f>
      </x:c>
      <x:c r="AB198" s="26"/>
      <x:c r="AC198" s="26"/>
      <x:c r="AD198" s="55"/>
    </x:row>
    <x:row r="199">
      <x:c r="A199" s="26"/>
      <x:c r="B199" s="26"/>
      <x:c r="C199" s="35"/>
      <x:c r="D199" s="39"/>
      <x:c r="E199" s="39"/>
      <x:c r="F199" s="26"/>
      <x:c r="G199" s="26"/>
      <x:c r="H199" s="26"/>
      <x:c r="I199" s="26"/>
      <x:c r="J199" s="26"/>
      <x:c r="K199" s="43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7" t="str">
        <x:f>IF(OR(J199="",K199="",L199="",M199=""),"",IF(J199="Long",(M199-L199)*K199,(L199-M199)*K199))</x:f>
      </x:c>
      <x:c r="X199" s="47" t="str">
        <x:f>IF(COUNTA(S199:V199)=0,"",SUM(S199:V199))</x:f>
      </x:c>
      <x:c r="Y199" s="47" t="str">
        <x:f>IF(W199="","",W199-IF(X199="",0,X199))</x:f>
      </x:c>
      <x:c r="Z199" s="47" t="str">
        <x:f>IF(OR(K199="",L199="",N199=""),"",ABS(L199-N199)*K199)</x:f>
      </x:c>
      <x:c r="AA199" s="52" t="str">
        <x:f>IFERROR(Y199/Z199,"")</x:f>
      </x:c>
      <x:c r="AB199" s="26"/>
      <x:c r="AC199" s="26"/>
      <x:c r="AD199" s="55"/>
    </x:row>
    <x:row r="200">
      <x:c r="A200" s="26"/>
      <x:c r="B200" s="26"/>
      <x:c r="C200" s="35"/>
      <x:c r="D200" s="39"/>
      <x:c r="E200" s="39"/>
      <x:c r="F200" s="26"/>
      <x:c r="G200" s="26"/>
      <x:c r="H200" s="26"/>
      <x:c r="I200" s="26"/>
      <x:c r="J200" s="26"/>
      <x:c r="K200" s="43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7" t="str">
        <x:f>IF(OR(J200="",K200="",L200="",M200=""),"",IF(J200="Long",(M200-L200)*K200,(L200-M200)*K200))</x:f>
      </x:c>
      <x:c r="X200" s="47" t="str">
        <x:f>IF(COUNTA(S200:V200)=0,"",SUM(S200:V200))</x:f>
      </x:c>
      <x:c r="Y200" s="47" t="str">
        <x:f>IF(W200="","",W200-IF(X200="",0,X200))</x:f>
      </x:c>
      <x:c r="Z200" s="47" t="str">
        <x:f>IF(OR(K200="",L200="",N200=""),"",ABS(L200-N200)*K200)</x:f>
      </x:c>
      <x:c r="AA200" s="52" t="str">
        <x:f>IFERROR(Y200/Z200,"")</x:f>
      </x:c>
      <x:c r="AB200" s="26"/>
      <x:c r="AC200" s="26"/>
      <x:c r="AD200" s="55"/>
    </x:row>
    <x:row r="201">
      <x:c r="A201" s="26"/>
      <x:c r="B201" s="26"/>
      <x:c r="C201" s="35"/>
      <x:c r="D201" s="39"/>
      <x:c r="E201" s="39"/>
      <x:c r="F201" s="26"/>
      <x:c r="G201" s="26"/>
      <x:c r="H201" s="26"/>
      <x:c r="I201" s="26"/>
      <x:c r="J201" s="26"/>
      <x:c r="K201" s="43"/>
      <x:c r="L201" s="48"/>
      <x:c r="M201" s="48"/>
      <x:c r="N201" s="48"/>
      <x:c r="O201" s="48"/>
      <x:c r="P201" s="48"/>
      <x:c r="Q201" s="48"/>
      <x:c r="R201" s="48"/>
      <x:c r="S201" s="48"/>
      <x:c r="T201" s="48"/>
      <x:c r="U201" s="48"/>
      <x:c r="V201" s="48"/>
      <x:c r="W201" s="47" t="str">
        <x:f>IF(OR(J201="",K201="",L201="",M201=""),"",IF(J201="Long",(M201-L201)*K201,(L201-M201)*K201))</x:f>
      </x:c>
      <x:c r="X201" s="47" t="str">
        <x:f>IF(COUNTA(S201:V201)=0,"",SUM(S201:V201))</x:f>
      </x:c>
      <x:c r="Y201" s="47" t="str">
        <x:f>IF(W201="","",W201-IF(X201="",0,X201))</x:f>
      </x:c>
      <x:c r="Z201" s="47" t="str">
        <x:f>IF(OR(K201="",L201="",N201=""),"",ABS(L201-N201)*K201)</x:f>
      </x:c>
      <x:c r="AA201" s="52" t="str">
        <x:f>IFERROR(Y201/Z201,"")</x:f>
      </x:c>
      <x:c r="AB201" s="26"/>
      <x:c r="AC201" s="26"/>
      <x:c r="AD201" s="55"/>
    </x:row>
    <x:row r="202">
      <x:c r="A202" s="26"/>
      <x:c r="B202" s="26"/>
      <x:c r="C202" s="35"/>
      <x:c r="D202" s="39"/>
      <x:c r="E202" s="39"/>
      <x:c r="F202" s="26"/>
      <x:c r="G202" s="26"/>
      <x:c r="H202" s="26"/>
      <x:c r="I202" s="26"/>
      <x:c r="J202" s="26"/>
      <x:c r="K202" s="43"/>
      <x:c r="L202" s="48"/>
      <x:c r="M202" s="48"/>
      <x:c r="N202" s="48"/>
      <x:c r="O202" s="48"/>
      <x:c r="P202" s="48"/>
      <x:c r="Q202" s="48"/>
      <x:c r="R202" s="48"/>
      <x:c r="S202" s="48"/>
      <x:c r="T202" s="48"/>
      <x:c r="U202" s="48"/>
      <x:c r="V202" s="48"/>
      <x:c r="W202" s="47" t="str">
        <x:f>IF(OR(J202="",K202="",L202="",M202=""),"",IF(J202="Long",(M202-L202)*K202,(L202-M202)*K202))</x:f>
      </x:c>
      <x:c r="X202" s="47" t="str">
        <x:f>IF(COUNTA(S202:V202)=0,"",SUM(S202:V202))</x:f>
      </x:c>
      <x:c r="Y202" s="47" t="str">
        <x:f>IF(W202="","",W202-IF(X202="",0,X202))</x:f>
      </x:c>
      <x:c r="Z202" s="47" t="str">
        <x:f>IF(OR(K202="",L202="",N202=""),"",ABS(L202-N202)*K202)</x:f>
      </x:c>
      <x:c r="AA202" s="52" t="str">
        <x:f>IFERROR(Y202/Z202,"")</x:f>
      </x:c>
      <x:c r="AB202" s="26"/>
      <x:c r="AC202" s="26"/>
      <x:c r="AD202" s="55"/>
    </x:row>
    <x:row r="203">
      <x:c r="A203" s="26"/>
      <x:c r="B203" s="26"/>
      <x:c r="C203" s="35"/>
      <x:c r="D203" s="39"/>
      <x:c r="E203" s="39"/>
      <x:c r="F203" s="26"/>
      <x:c r="G203" s="26"/>
      <x:c r="H203" s="26"/>
      <x:c r="I203" s="26"/>
      <x:c r="J203" s="26"/>
      <x:c r="K203" s="43"/>
      <x:c r="L203" s="48"/>
      <x:c r="M203" s="48"/>
      <x:c r="N203" s="48"/>
      <x:c r="O203" s="48"/>
      <x:c r="P203" s="48"/>
      <x:c r="Q203" s="48"/>
      <x:c r="R203" s="48"/>
      <x:c r="S203" s="48"/>
      <x:c r="T203" s="48"/>
      <x:c r="U203" s="48"/>
      <x:c r="V203" s="48"/>
      <x:c r="W203" s="47" t="str">
        <x:f>IF(OR(J203="",K203="",L203="",M203=""),"",IF(J203="Long",(M203-L203)*K203,(L203-M203)*K203))</x:f>
      </x:c>
      <x:c r="X203" s="47" t="str">
        <x:f>IF(COUNTA(S203:V203)=0,"",SUM(S203:V203))</x:f>
      </x:c>
      <x:c r="Y203" s="47" t="str">
        <x:f>IF(W203="","",W203-IF(X203="",0,X203))</x:f>
      </x:c>
      <x:c r="Z203" s="47" t="str">
        <x:f>IF(OR(K203="",L203="",N203=""),"",ABS(L203-N203)*K203)</x:f>
      </x:c>
      <x:c r="AA203" s="52" t="str">
        <x:f>IFERROR(Y203/Z203,"")</x:f>
      </x:c>
      <x:c r="AB203" s="26"/>
      <x:c r="AC203" s="26"/>
      <x:c r="AD203" s="55"/>
    </x:row>
    <x:row r="204">
      <x:c r="A204" s="26"/>
      <x:c r="B204" s="26"/>
      <x:c r="C204" s="35"/>
      <x:c r="D204" s="39"/>
      <x:c r="E204" s="39"/>
      <x:c r="F204" s="26"/>
      <x:c r="G204" s="26"/>
      <x:c r="H204" s="26"/>
      <x:c r="I204" s="26"/>
      <x:c r="J204" s="26"/>
      <x:c r="K204" s="43"/>
      <x:c r="L204" s="48"/>
      <x:c r="M204" s="48"/>
      <x:c r="N204" s="48"/>
      <x:c r="O204" s="48"/>
      <x:c r="P204" s="48"/>
      <x:c r="Q204" s="48"/>
      <x:c r="R204" s="48"/>
      <x:c r="S204" s="48"/>
      <x:c r="T204" s="48"/>
      <x:c r="U204" s="48"/>
      <x:c r="V204" s="48"/>
      <x:c r="W204" s="47" t="str">
        <x:f>IF(OR(J204="",K204="",L204="",M204=""),"",IF(J204="Long",(M204-L204)*K204,(L204-M204)*K204))</x:f>
      </x:c>
      <x:c r="X204" s="47" t="str">
        <x:f>IF(COUNTA(S204:V204)=0,"",SUM(S204:V204))</x:f>
      </x:c>
      <x:c r="Y204" s="47" t="str">
        <x:f>IF(W204="","",W204-IF(X204="",0,X204))</x:f>
      </x:c>
      <x:c r="Z204" s="47" t="str">
        <x:f>IF(OR(K204="",L204="",N204=""),"",ABS(L204-N204)*K204)</x:f>
      </x:c>
      <x:c r="AA204" s="52" t="str">
        <x:f>IFERROR(Y204/Z204,"")</x:f>
      </x:c>
      <x:c r="AB204" s="26"/>
      <x:c r="AC204" s="26"/>
      <x:c r="AD204" s="55"/>
    </x:row>
    <x:row r="205">
      <x:c r="A205" s="26"/>
      <x:c r="B205" s="26"/>
      <x:c r="C205" s="35"/>
      <x:c r="D205" s="39"/>
      <x:c r="E205" s="39"/>
      <x:c r="F205" s="26"/>
      <x:c r="G205" s="26"/>
      <x:c r="H205" s="26"/>
      <x:c r="I205" s="26"/>
      <x:c r="J205" s="26"/>
      <x:c r="K205" s="43"/>
      <x:c r="L205" s="48"/>
      <x:c r="M205" s="48"/>
      <x:c r="N205" s="48"/>
      <x:c r="O205" s="48"/>
      <x:c r="P205" s="48"/>
      <x:c r="Q205" s="48"/>
      <x:c r="R205" s="48"/>
      <x:c r="S205" s="48"/>
      <x:c r="T205" s="48"/>
      <x:c r="U205" s="48"/>
      <x:c r="V205" s="48"/>
      <x:c r="W205" s="47" t="str">
        <x:f>IF(OR(J205="",K205="",L205="",M205=""),"",IF(J205="Long",(M205-L205)*K205,(L205-M205)*K205))</x:f>
      </x:c>
      <x:c r="X205" s="47" t="str">
        <x:f>IF(COUNTA(S205:V205)=0,"",SUM(S205:V205))</x:f>
      </x:c>
      <x:c r="Y205" s="47" t="str">
        <x:f>IF(W205="","",W205-IF(X205="",0,X205))</x:f>
      </x:c>
      <x:c r="Z205" s="47" t="str">
        <x:f>IF(OR(K205="",L205="",N205=""),"",ABS(L205-N205)*K205)</x:f>
      </x:c>
      <x:c r="AA205" s="52" t="str">
        <x:f>IFERROR(Y205/Z205,"")</x:f>
      </x:c>
      <x:c r="AB205" s="26"/>
      <x:c r="AC205" s="26"/>
      <x:c r="AD205" s="55"/>
    </x:row>
    <x:row r="206">
      <x:c r="A206" s="26"/>
      <x:c r="B206" s="26"/>
      <x:c r="C206" s="35"/>
      <x:c r="D206" s="39"/>
      <x:c r="E206" s="39"/>
      <x:c r="F206" s="26"/>
      <x:c r="G206" s="26"/>
      <x:c r="H206" s="26"/>
      <x:c r="I206" s="26"/>
      <x:c r="J206" s="26"/>
      <x:c r="K206" s="43"/>
      <x:c r="L206" s="48"/>
      <x:c r="M206" s="48"/>
      <x:c r="N206" s="48"/>
      <x:c r="O206" s="48"/>
      <x:c r="P206" s="48"/>
      <x:c r="Q206" s="48"/>
      <x:c r="R206" s="48"/>
      <x:c r="S206" s="48"/>
      <x:c r="T206" s="48"/>
      <x:c r="U206" s="48"/>
      <x:c r="V206" s="48"/>
      <x:c r="W206" s="47" t="str">
        <x:f>IF(OR(J206="",K206="",L206="",M206=""),"",IF(J206="Long",(M206-L206)*K206,(L206-M206)*K206))</x:f>
      </x:c>
      <x:c r="X206" s="47" t="str">
        <x:f>IF(COUNTA(S206:V206)=0,"",SUM(S206:V206))</x:f>
      </x:c>
      <x:c r="Y206" s="47" t="str">
        <x:f>IF(W206="","",W206-IF(X206="",0,X206))</x:f>
      </x:c>
      <x:c r="Z206" s="47" t="str">
        <x:f>IF(OR(K206="",L206="",N206=""),"",ABS(L206-N206)*K206)</x:f>
      </x:c>
      <x:c r="AA206" s="52" t="str">
        <x:f>IFERROR(Y206/Z206,"")</x:f>
      </x:c>
      <x:c r="AB206" s="26"/>
      <x:c r="AC206" s="26"/>
      <x:c r="AD206" s="55"/>
    </x:row>
    <x:row r="207">
      <x:c r="A207" s="26"/>
      <x:c r="B207" s="26"/>
      <x:c r="C207" s="35"/>
      <x:c r="D207" s="39"/>
      <x:c r="E207" s="39"/>
      <x:c r="F207" s="26"/>
      <x:c r="G207" s="26"/>
      <x:c r="H207" s="26"/>
      <x:c r="I207" s="26"/>
      <x:c r="J207" s="26"/>
      <x:c r="K207" s="43"/>
      <x:c r="L207" s="48"/>
      <x:c r="M207" s="48"/>
      <x:c r="N207" s="48"/>
      <x:c r="O207" s="48"/>
      <x:c r="P207" s="48"/>
      <x:c r="Q207" s="48"/>
      <x:c r="R207" s="48"/>
      <x:c r="S207" s="48"/>
      <x:c r="T207" s="48"/>
      <x:c r="U207" s="48"/>
      <x:c r="V207" s="48"/>
      <x:c r="W207" s="47" t="str">
        <x:f>IF(OR(J207="",K207="",L207="",M207=""),"",IF(J207="Long",(M207-L207)*K207,(L207-M207)*K207))</x:f>
      </x:c>
      <x:c r="X207" s="47" t="str">
        <x:f>IF(COUNTA(S207:V207)=0,"",SUM(S207:V207))</x:f>
      </x:c>
      <x:c r="Y207" s="47" t="str">
        <x:f>IF(W207="","",W207-IF(X207="",0,X207))</x:f>
      </x:c>
      <x:c r="Z207" s="47" t="str">
        <x:f>IF(OR(K207="",L207="",N207=""),"",ABS(L207-N207)*K207)</x:f>
      </x:c>
      <x:c r="AA207" s="52" t="str">
        <x:f>IFERROR(Y207/Z207,"")</x:f>
      </x:c>
      <x:c r="AB207" s="26"/>
      <x:c r="AC207" s="26"/>
      <x:c r="AD207" s="55"/>
    </x:row>
    <x:row r="208">
      <x:c r="A208" s="26"/>
      <x:c r="B208" s="26"/>
      <x:c r="C208" s="35"/>
      <x:c r="D208" s="39"/>
      <x:c r="E208" s="39"/>
      <x:c r="F208" s="26"/>
      <x:c r="G208" s="26"/>
      <x:c r="H208" s="26"/>
      <x:c r="I208" s="26"/>
      <x:c r="J208" s="26"/>
      <x:c r="K208" s="43"/>
      <x:c r="L208" s="48"/>
      <x:c r="M208" s="48"/>
      <x:c r="N208" s="48"/>
      <x:c r="O208" s="48"/>
      <x:c r="P208" s="48"/>
      <x:c r="Q208" s="48"/>
      <x:c r="R208" s="48"/>
      <x:c r="S208" s="48"/>
      <x:c r="T208" s="48"/>
      <x:c r="U208" s="48"/>
      <x:c r="V208" s="48"/>
      <x:c r="W208" s="47" t="str">
        <x:f>IF(OR(J208="",K208="",L208="",M208=""),"",IF(J208="Long",(M208-L208)*K208,(L208-M208)*K208))</x:f>
      </x:c>
      <x:c r="X208" s="47" t="str">
        <x:f>IF(COUNTA(S208:V208)=0,"",SUM(S208:V208))</x:f>
      </x:c>
      <x:c r="Y208" s="47" t="str">
        <x:f>IF(W208="","",W208-IF(X208="",0,X208))</x:f>
      </x:c>
      <x:c r="Z208" s="47" t="str">
        <x:f>IF(OR(K208="",L208="",N208=""),"",ABS(L208-N208)*K208)</x:f>
      </x:c>
      <x:c r="AA208" s="52" t="str">
        <x:f>IFERROR(Y208/Z208,"")</x:f>
      </x:c>
      <x:c r="AB208" s="26"/>
      <x:c r="AC208" s="26"/>
      <x:c r="AD208" s="55"/>
    </x:row>
    <x:row r="209">
      <x:c r="A209" s="26"/>
      <x:c r="B209" s="26"/>
      <x:c r="C209" s="35"/>
      <x:c r="D209" s="39"/>
      <x:c r="E209" s="39"/>
      <x:c r="F209" s="26"/>
      <x:c r="G209" s="26"/>
      <x:c r="H209" s="26"/>
      <x:c r="I209" s="26"/>
      <x:c r="J209" s="26"/>
      <x:c r="K209" s="43"/>
      <x:c r="L209" s="48"/>
      <x:c r="M209" s="48"/>
      <x:c r="N209" s="48"/>
      <x:c r="O209" s="48"/>
      <x:c r="P209" s="48"/>
      <x:c r="Q209" s="48"/>
      <x:c r="R209" s="48"/>
      <x:c r="S209" s="48"/>
      <x:c r="T209" s="48"/>
      <x:c r="U209" s="48"/>
      <x:c r="V209" s="48"/>
      <x:c r="W209" s="47" t="str">
        <x:f>IF(OR(J209="",K209="",L209="",M209=""),"",IF(J209="Long",(M209-L209)*K209,(L209-M209)*K209))</x:f>
      </x:c>
      <x:c r="X209" s="47" t="str">
        <x:f>IF(COUNTA(S209:V209)=0,"",SUM(S209:V209))</x:f>
      </x:c>
      <x:c r="Y209" s="47" t="str">
        <x:f>IF(W209="","",W209-IF(X209="",0,X209))</x:f>
      </x:c>
      <x:c r="Z209" s="47" t="str">
        <x:f>IF(OR(K209="",L209="",N209=""),"",ABS(L209-N209)*K209)</x:f>
      </x:c>
      <x:c r="AA209" s="52" t="str">
        <x:f>IFERROR(Y209/Z209,"")</x:f>
      </x:c>
      <x:c r="AB209" s="26"/>
      <x:c r="AC209" s="26"/>
      <x:c r="AD209" s="55"/>
    </x:row>
    <x:row r="210">
      <x:c r="A210" s="26"/>
      <x:c r="B210" s="26"/>
      <x:c r="C210" s="35"/>
      <x:c r="D210" s="39"/>
      <x:c r="E210" s="39"/>
      <x:c r="F210" s="26"/>
      <x:c r="G210" s="26"/>
      <x:c r="H210" s="26"/>
      <x:c r="I210" s="26"/>
      <x:c r="J210" s="26"/>
      <x:c r="K210" s="43"/>
      <x:c r="L210" s="48"/>
      <x:c r="M210" s="48"/>
      <x:c r="N210" s="48"/>
      <x:c r="O210" s="48"/>
      <x:c r="P210" s="48"/>
      <x:c r="Q210" s="48"/>
      <x:c r="R210" s="48"/>
      <x:c r="S210" s="48"/>
      <x:c r="T210" s="48"/>
      <x:c r="U210" s="48"/>
      <x:c r="V210" s="48"/>
      <x:c r="W210" s="47" t="str">
        <x:f>IF(OR(J210="",K210="",L210="",M210=""),"",IF(J210="Long",(M210-L210)*K210,(L210-M210)*K210))</x:f>
      </x:c>
      <x:c r="X210" s="47" t="str">
        <x:f>IF(COUNTA(S210:V210)=0,"",SUM(S210:V210))</x:f>
      </x:c>
      <x:c r="Y210" s="47" t="str">
        <x:f>IF(W210="","",W210-IF(X210="",0,X210))</x:f>
      </x:c>
      <x:c r="Z210" s="47" t="str">
        <x:f>IF(OR(K210="",L210="",N210=""),"",ABS(L210-N210)*K210)</x:f>
      </x:c>
      <x:c r="AA210" s="52" t="str">
        <x:f>IFERROR(Y210/Z210,"")</x:f>
      </x:c>
      <x:c r="AB210" s="26"/>
      <x:c r="AC210" s="26"/>
      <x:c r="AD210" s="55"/>
    </x:row>
    <x:row r="211">
      <x:c r="A211" s="26"/>
      <x:c r="B211" s="26"/>
      <x:c r="C211" s="35"/>
      <x:c r="D211" s="39"/>
      <x:c r="E211" s="39"/>
      <x:c r="F211" s="26"/>
      <x:c r="G211" s="26"/>
      <x:c r="H211" s="26"/>
      <x:c r="I211" s="26"/>
      <x:c r="J211" s="26"/>
      <x:c r="K211" s="43"/>
      <x:c r="L211" s="48"/>
      <x:c r="M211" s="48"/>
      <x:c r="N211" s="48"/>
      <x:c r="O211" s="48"/>
      <x:c r="P211" s="48"/>
      <x:c r="Q211" s="48"/>
      <x:c r="R211" s="48"/>
      <x:c r="S211" s="48"/>
      <x:c r="T211" s="48"/>
      <x:c r="U211" s="48"/>
      <x:c r="V211" s="48"/>
      <x:c r="W211" s="47" t="str">
        <x:f>IF(OR(J211="",K211="",L211="",M211=""),"",IF(J211="Long",(M211-L211)*K211,(L211-M211)*K211))</x:f>
      </x:c>
      <x:c r="X211" s="47" t="str">
        <x:f>IF(COUNTA(S211:V211)=0,"",SUM(S211:V211))</x:f>
      </x:c>
      <x:c r="Y211" s="47" t="str">
        <x:f>IF(W211="","",W211-IF(X211="",0,X211))</x:f>
      </x:c>
      <x:c r="Z211" s="47" t="str">
        <x:f>IF(OR(K211="",L211="",N211=""),"",ABS(L211-N211)*K211)</x:f>
      </x:c>
      <x:c r="AA211" s="52" t="str">
        <x:f>IFERROR(Y211/Z211,"")</x:f>
      </x:c>
      <x:c r="AB211" s="26"/>
      <x:c r="AC211" s="26"/>
      <x:c r="AD211" s="55"/>
    </x:row>
    <x:row r="212">
      <x:c r="A212" s="26"/>
      <x:c r="B212" s="26"/>
      <x:c r="C212" s="35"/>
      <x:c r="D212" s="39"/>
      <x:c r="E212" s="39"/>
      <x:c r="F212" s="26"/>
      <x:c r="G212" s="26"/>
      <x:c r="H212" s="26"/>
      <x:c r="I212" s="26"/>
      <x:c r="J212" s="26"/>
      <x:c r="K212" s="43"/>
      <x:c r="L212" s="48"/>
      <x:c r="M212" s="48"/>
      <x:c r="N212" s="48"/>
      <x:c r="O212" s="48"/>
      <x:c r="P212" s="48"/>
      <x:c r="Q212" s="48"/>
      <x:c r="R212" s="48"/>
      <x:c r="S212" s="48"/>
      <x:c r="T212" s="48"/>
      <x:c r="U212" s="48"/>
      <x:c r="V212" s="48"/>
      <x:c r="W212" s="47" t="str">
        <x:f>IF(OR(J212="",K212="",L212="",M212=""),"",IF(J212="Long",(M212-L212)*K212,(L212-M212)*K212))</x:f>
      </x:c>
      <x:c r="X212" s="47" t="str">
        <x:f>IF(COUNTA(S212:V212)=0,"",SUM(S212:V212))</x:f>
      </x:c>
      <x:c r="Y212" s="47" t="str">
        <x:f>IF(W212="","",W212-IF(X212="",0,X212))</x:f>
      </x:c>
      <x:c r="Z212" s="47" t="str">
        <x:f>IF(OR(K212="",L212="",N212=""),"",ABS(L212-N212)*K212)</x:f>
      </x:c>
      <x:c r="AA212" s="52" t="str">
        <x:f>IFERROR(Y212/Z212,"")</x:f>
      </x:c>
      <x:c r="AB212" s="26"/>
      <x:c r="AC212" s="26"/>
      <x:c r="AD212" s="55"/>
    </x:row>
    <x:row r="213">
      <x:c r="A213" s="26"/>
      <x:c r="B213" s="26"/>
      <x:c r="C213" s="35"/>
      <x:c r="D213" s="39"/>
      <x:c r="E213" s="39"/>
      <x:c r="F213" s="26"/>
      <x:c r="G213" s="26"/>
      <x:c r="H213" s="26"/>
      <x:c r="I213" s="26"/>
      <x:c r="J213" s="26"/>
      <x:c r="K213" s="43"/>
      <x:c r="L213" s="48"/>
      <x:c r="M213" s="48"/>
      <x:c r="N213" s="48"/>
      <x:c r="O213" s="48"/>
      <x:c r="P213" s="48"/>
      <x:c r="Q213" s="48"/>
      <x:c r="R213" s="48"/>
      <x:c r="S213" s="48"/>
      <x:c r="T213" s="48"/>
      <x:c r="U213" s="48"/>
      <x:c r="V213" s="48"/>
      <x:c r="W213" s="47" t="str">
        <x:f>IF(OR(J213="",K213="",L213="",M213=""),"",IF(J213="Long",(M213-L213)*K213,(L213-M213)*K213))</x:f>
      </x:c>
      <x:c r="X213" s="47" t="str">
        <x:f>IF(COUNTA(S213:V213)=0,"",SUM(S213:V213))</x:f>
      </x:c>
      <x:c r="Y213" s="47" t="str">
        <x:f>IF(W213="","",W213-IF(X213="",0,X213))</x:f>
      </x:c>
      <x:c r="Z213" s="47" t="str">
        <x:f>IF(OR(K213="",L213="",N213=""),"",ABS(L213-N213)*K213)</x:f>
      </x:c>
      <x:c r="AA213" s="52" t="str">
        <x:f>IFERROR(Y213/Z213,"")</x:f>
      </x:c>
      <x:c r="AB213" s="26"/>
      <x:c r="AC213" s="26"/>
      <x:c r="AD213" s="55"/>
    </x:row>
    <x:row r="214">
      <x:c r="A214" s="26"/>
      <x:c r="B214" s="26"/>
      <x:c r="C214" s="35"/>
      <x:c r="D214" s="39"/>
      <x:c r="E214" s="39"/>
      <x:c r="F214" s="26"/>
      <x:c r="G214" s="26"/>
      <x:c r="H214" s="26"/>
      <x:c r="I214" s="26"/>
      <x:c r="J214" s="26"/>
      <x:c r="K214" s="43"/>
      <x:c r="L214" s="48"/>
      <x:c r="M214" s="48"/>
      <x:c r="N214" s="48"/>
      <x:c r="O214" s="48"/>
      <x:c r="P214" s="48"/>
      <x:c r="Q214" s="48"/>
      <x:c r="R214" s="48"/>
      <x:c r="S214" s="48"/>
      <x:c r="T214" s="48"/>
      <x:c r="U214" s="48"/>
      <x:c r="V214" s="48"/>
      <x:c r="W214" s="47" t="str">
        <x:f>IF(OR(J214="",K214="",L214="",M214=""),"",IF(J214="Long",(M214-L214)*K214,(L214-M214)*K214))</x:f>
      </x:c>
      <x:c r="X214" s="47" t="str">
        <x:f>IF(COUNTA(S214:V214)=0,"",SUM(S214:V214))</x:f>
      </x:c>
      <x:c r="Y214" s="47" t="str">
        <x:f>IF(W214="","",W214-IF(X214="",0,X214))</x:f>
      </x:c>
      <x:c r="Z214" s="47" t="str">
        <x:f>IF(OR(K214="",L214="",N214=""),"",ABS(L214-N214)*K214)</x:f>
      </x:c>
      <x:c r="AA214" s="52" t="str">
        <x:f>IFERROR(Y214/Z214,"")</x:f>
      </x:c>
      <x:c r="AB214" s="26"/>
      <x:c r="AC214" s="26"/>
      <x:c r="AD214" s="55"/>
    </x:row>
    <x:row r="215">
      <x:c r="A215" s="26"/>
      <x:c r="B215" s="26"/>
      <x:c r="C215" s="35"/>
      <x:c r="D215" s="39"/>
      <x:c r="E215" s="39"/>
      <x:c r="F215" s="26"/>
      <x:c r="G215" s="26"/>
      <x:c r="H215" s="26"/>
      <x:c r="I215" s="26"/>
      <x:c r="J215" s="26"/>
      <x:c r="K215" s="43"/>
      <x:c r="L215" s="48"/>
      <x:c r="M215" s="48"/>
      <x:c r="N215" s="48"/>
      <x:c r="O215" s="48"/>
      <x:c r="P215" s="48"/>
      <x:c r="Q215" s="48"/>
      <x:c r="R215" s="48"/>
      <x:c r="S215" s="48"/>
      <x:c r="T215" s="48"/>
      <x:c r="U215" s="48"/>
      <x:c r="V215" s="48"/>
      <x:c r="W215" s="47" t="str">
        <x:f>IF(OR(J215="",K215="",L215="",M215=""),"",IF(J215="Long",(M215-L215)*K215,(L215-M215)*K215))</x:f>
      </x:c>
      <x:c r="X215" s="47" t="str">
        <x:f>IF(COUNTA(S215:V215)=0,"",SUM(S215:V215))</x:f>
      </x:c>
      <x:c r="Y215" s="47" t="str">
        <x:f>IF(W215="","",W215-IF(X215="",0,X215))</x:f>
      </x:c>
      <x:c r="Z215" s="47" t="str">
        <x:f>IF(OR(K215="",L215="",N215=""),"",ABS(L215-N215)*K215)</x:f>
      </x:c>
      <x:c r="AA215" s="52" t="str">
        <x:f>IFERROR(Y215/Z215,"")</x:f>
      </x:c>
      <x:c r="AB215" s="26"/>
      <x:c r="AC215" s="26"/>
      <x:c r="AD215" s="55"/>
    </x:row>
    <x:row r="216">
      <x:c r="A216" s="26"/>
      <x:c r="B216" s="26"/>
      <x:c r="C216" s="35"/>
      <x:c r="D216" s="39"/>
      <x:c r="E216" s="39"/>
      <x:c r="F216" s="26"/>
      <x:c r="G216" s="26"/>
      <x:c r="H216" s="26"/>
      <x:c r="I216" s="26"/>
      <x:c r="J216" s="26"/>
      <x:c r="K216" s="43"/>
      <x:c r="L216" s="48"/>
      <x:c r="M216" s="48"/>
      <x:c r="N216" s="48"/>
      <x:c r="O216" s="48"/>
      <x:c r="P216" s="48"/>
      <x:c r="Q216" s="48"/>
      <x:c r="R216" s="48"/>
      <x:c r="S216" s="48"/>
      <x:c r="T216" s="48"/>
      <x:c r="U216" s="48"/>
      <x:c r="V216" s="48"/>
      <x:c r="W216" s="47" t="str">
        <x:f>IF(OR(J216="",K216="",L216="",M216=""),"",IF(J216="Long",(M216-L216)*K216,(L216-M216)*K216))</x:f>
      </x:c>
      <x:c r="X216" s="47" t="str">
        <x:f>IF(COUNTA(S216:V216)=0,"",SUM(S216:V216))</x:f>
      </x:c>
      <x:c r="Y216" s="47" t="str">
        <x:f>IF(W216="","",W216-IF(X216="",0,X216))</x:f>
      </x:c>
      <x:c r="Z216" s="47" t="str">
        <x:f>IF(OR(K216="",L216="",N216=""),"",ABS(L216-N216)*K216)</x:f>
      </x:c>
      <x:c r="AA216" s="52" t="str">
        <x:f>IFERROR(Y216/Z216,"")</x:f>
      </x:c>
      <x:c r="AB216" s="26"/>
      <x:c r="AC216" s="26"/>
      <x:c r="AD216" s="55"/>
    </x:row>
    <x:row r="217">
      <x:c r="A217" s="26"/>
      <x:c r="B217" s="26"/>
      <x:c r="C217" s="35"/>
      <x:c r="D217" s="39"/>
      <x:c r="E217" s="39"/>
      <x:c r="F217" s="26"/>
      <x:c r="G217" s="26"/>
      <x:c r="H217" s="26"/>
      <x:c r="I217" s="26"/>
      <x:c r="J217" s="26"/>
      <x:c r="K217" s="43"/>
      <x:c r="L217" s="48"/>
      <x:c r="M217" s="48"/>
      <x:c r="N217" s="48"/>
      <x:c r="O217" s="48"/>
      <x:c r="P217" s="48"/>
      <x:c r="Q217" s="48"/>
      <x:c r="R217" s="48"/>
      <x:c r="S217" s="48"/>
      <x:c r="T217" s="48"/>
      <x:c r="U217" s="48"/>
      <x:c r="V217" s="48"/>
      <x:c r="W217" s="47" t="str">
        <x:f>IF(OR(J217="",K217="",L217="",M217=""),"",IF(J217="Long",(M217-L217)*K217,(L217-M217)*K217))</x:f>
      </x:c>
      <x:c r="X217" s="47" t="str">
        <x:f>IF(COUNTA(S217:V217)=0,"",SUM(S217:V217))</x:f>
      </x:c>
      <x:c r="Y217" s="47" t="str">
        <x:f>IF(W217="","",W217-IF(X217="",0,X217))</x:f>
      </x:c>
      <x:c r="Z217" s="47" t="str">
        <x:f>IF(OR(K217="",L217="",N217=""),"",ABS(L217-N217)*K217)</x:f>
      </x:c>
      <x:c r="AA217" s="52" t="str">
        <x:f>IFERROR(Y217/Z217,"")</x:f>
      </x:c>
      <x:c r="AB217" s="26"/>
      <x:c r="AC217" s="26"/>
      <x:c r="AD217" s="55"/>
    </x:row>
    <x:row r="218">
      <x:c r="A218" s="26"/>
      <x:c r="B218" s="26"/>
      <x:c r="C218" s="35"/>
      <x:c r="D218" s="39"/>
      <x:c r="E218" s="39"/>
      <x:c r="F218" s="26"/>
      <x:c r="G218" s="26"/>
      <x:c r="H218" s="26"/>
      <x:c r="I218" s="26"/>
      <x:c r="J218" s="26"/>
      <x:c r="K218" s="43"/>
      <x:c r="L218" s="48"/>
      <x:c r="M218" s="48"/>
      <x:c r="N218" s="48"/>
      <x:c r="O218" s="48"/>
      <x:c r="P218" s="48"/>
      <x:c r="Q218" s="48"/>
      <x:c r="R218" s="48"/>
      <x:c r="S218" s="48"/>
      <x:c r="T218" s="48"/>
      <x:c r="U218" s="48"/>
      <x:c r="V218" s="48"/>
      <x:c r="W218" s="47" t="str">
        <x:f>IF(OR(J218="",K218="",L218="",M218=""),"",IF(J218="Long",(M218-L218)*K218,(L218-M218)*K218))</x:f>
      </x:c>
      <x:c r="X218" s="47" t="str">
        <x:f>IF(COUNTA(S218:V218)=0,"",SUM(S218:V218))</x:f>
      </x:c>
      <x:c r="Y218" s="47" t="str">
        <x:f>IF(W218="","",W218-IF(X218="",0,X218))</x:f>
      </x:c>
      <x:c r="Z218" s="47" t="str">
        <x:f>IF(OR(K218="",L218="",N218=""),"",ABS(L218-N218)*K218)</x:f>
      </x:c>
      <x:c r="AA218" s="52" t="str">
        <x:f>IFERROR(Y218/Z218,"")</x:f>
      </x:c>
      <x:c r="AB218" s="26"/>
      <x:c r="AC218" s="26"/>
      <x:c r="AD218" s="55"/>
    </x:row>
    <x:row r="219">
      <x:c r="A219" s="26"/>
      <x:c r="B219" s="26"/>
      <x:c r="C219" s="35"/>
      <x:c r="D219" s="39"/>
      <x:c r="E219" s="39"/>
      <x:c r="F219" s="26"/>
      <x:c r="G219" s="26"/>
      <x:c r="H219" s="26"/>
      <x:c r="I219" s="26"/>
      <x:c r="J219" s="26"/>
      <x:c r="K219" s="43"/>
      <x:c r="L219" s="48"/>
      <x:c r="M219" s="48"/>
      <x:c r="N219" s="48"/>
      <x:c r="O219" s="48"/>
      <x:c r="P219" s="48"/>
      <x:c r="Q219" s="48"/>
      <x:c r="R219" s="48"/>
      <x:c r="S219" s="48"/>
      <x:c r="T219" s="48"/>
      <x:c r="U219" s="48"/>
      <x:c r="V219" s="48"/>
      <x:c r="W219" s="47" t="str">
        <x:f>IF(OR(J219="",K219="",L219="",M219=""),"",IF(J219="Long",(M219-L219)*K219,(L219-M219)*K219))</x:f>
      </x:c>
      <x:c r="X219" s="47" t="str">
        <x:f>IF(COUNTA(S219:V219)=0,"",SUM(S219:V219))</x:f>
      </x:c>
      <x:c r="Y219" s="47" t="str">
        <x:f>IF(W219="","",W219-IF(X219="",0,X219))</x:f>
      </x:c>
      <x:c r="Z219" s="47" t="str">
        <x:f>IF(OR(K219="",L219="",N219=""),"",ABS(L219-N219)*K219)</x:f>
      </x:c>
      <x:c r="AA219" s="52" t="str">
        <x:f>IFERROR(Y219/Z219,"")</x:f>
      </x:c>
      <x:c r="AB219" s="26"/>
      <x:c r="AC219" s="26"/>
      <x:c r="AD219" s="55"/>
    </x:row>
    <x:row r="220">
      <x:c r="A220" s="26"/>
      <x:c r="B220" s="26"/>
      <x:c r="C220" s="35"/>
      <x:c r="D220" s="39"/>
      <x:c r="E220" s="39"/>
      <x:c r="F220" s="26"/>
      <x:c r="G220" s="26"/>
      <x:c r="H220" s="26"/>
      <x:c r="I220" s="26"/>
      <x:c r="J220" s="26"/>
      <x:c r="K220" s="43"/>
      <x:c r="L220" s="48"/>
      <x:c r="M220" s="48"/>
      <x:c r="N220" s="48"/>
      <x:c r="O220" s="48"/>
      <x:c r="P220" s="48"/>
      <x:c r="Q220" s="48"/>
      <x:c r="R220" s="48"/>
      <x:c r="S220" s="48"/>
      <x:c r="T220" s="48"/>
      <x:c r="U220" s="48"/>
      <x:c r="V220" s="48"/>
      <x:c r="W220" s="47" t="str">
        <x:f>IF(OR(J220="",K220="",L220="",M220=""),"",IF(J220="Long",(M220-L220)*K220,(L220-M220)*K220))</x:f>
      </x:c>
      <x:c r="X220" s="47" t="str">
        <x:f>IF(COUNTA(S220:V220)=0,"",SUM(S220:V220))</x:f>
      </x:c>
      <x:c r="Y220" s="47" t="str">
        <x:f>IF(W220="","",W220-IF(X220="",0,X220))</x:f>
      </x:c>
      <x:c r="Z220" s="47" t="str">
        <x:f>IF(OR(K220="",L220="",N220=""),"",ABS(L220-N220)*K220)</x:f>
      </x:c>
      <x:c r="AA220" s="52" t="str">
        <x:f>IFERROR(Y220/Z220,"")</x:f>
      </x:c>
      <x:c r="AB220" s="26"/>
      <x:c r="AC220" s="26"/>
      <x:c r="AD220" s="55"/>
    </x:row>
    <x:row r="221">
      <x:c r="A221" s="26"/>
      <x:c r="B221" s="26"/>
      <x:c r="C221" s="35"/>
      <x:c r="D221" s="39"/>
      <x:c r="E221" s="39"/>
      <x:c r="F221" s="26"/>
      <x:c r="G221" s="26"/>
      <x:c r="H221" s="26"/>
      <x:c r="I221" s="26"/>
      <x:c r="J221" s="26"/>
      <x:c r="K221" s="43"/>
      <x:c r="L221" s="48"/>
      <x:c r="M221" s="48"/>
      <x:c r="N221" s="48"/>
      <x:c r="O221" s="48"/>
      <x:c r="P221" s="48"/>
      <x:c r="Q221" s="48"/>
      <x:c r="R221" s="48"/>
      <x:c r="S221" s="48"/>
      <x:c r="T221" s="48"/>
      <x:c r="U221" s="48"/>
      <x:c r="V221" s="48"/>
      <x:c r="W221" s="47" t="str">
        <x:f>IF(OR(J221="",K221="",L221="",M221=""),"",IF(J221="Long",(M221-L221)*K221,(L221-M221)*K221))</x:f>
      </x:c>
      <x:c r="X221" s="47" t="str">
        <x:f>IF(COUNTA(S221:V221)=0,"",SUM(S221:V221))</x:f>
      </x:c>
      <x:c r="Y221" s="47" t="str">
        <x:f>IF(W221="","",W221-IF(X221="",0,X221))</x:f>
      </x:c>
      <x:c r="Z221" s="47" t="str">
        <x:f>IF(OR(K221="",L221="",N221=""),"",ABS(L221-N221)*K221)</x:f>
      </x:c>
      <x:c r="AA221" s="52" t="str">
        <x:f>IFERROR(Y221/Z221,"")</x:f>
      </x:c>
      <x:c r="AB221" s="26"/>
      <x:c r="AC221" s="26"/>
      <x:c r="AD221" s="55"/>
    </x:row>
    <x:row r="222">
      <x:c r="A222" s="26"/>
      <x:c r="B222" s="26"/>
      <x:c r="C222" s="35"/>
      <x:c r="D222" s="39"/>
      <x:c r="E222" s="39"/>
      <x:c r="F222" s="26"/>
      <x:c r="G222" s="26"/>
      <x:c r="H222" s="26"/>
      <x:c r="I222" s="26"/>
      <x:c r="J222" s="26"/>
      <x:c r="K222" s="43"/>
      <x:c r="L222" s="48"/>
      <x:c r="M222" s="48"/>
      <x:c r="N222" s="48"/>
      <x:c r="O222" s="48"/>
      <x:c r="P222" s="48"/>
      <x:c r="Q222" s="48"/>
      <x:c r="R222" s="48"/>
      <x:c r="S222" s="48"/>
      <x:c r="T222" s="48"/>
      <x:c r="U222" s="48"/>
      <x:c r="V222" s="48"/>
      <x:c r="W222" s="47" t="str">
        <x:f>IF(OR(J222="",K222="",L222="",M222=""),"",IF(J222="Long",(M222-L222)*K222,(L222-M222)*K222))</x:f>
      </x:c>
      <x:c r="X222" s="47" t="str">
        <x:f>IF(COUNTA(S222:V222)=0,"",SUM(S222:V222))</x:f>
      </x:c>
      <x:c r="Y222" s="47" t="str">
        <x:f>IF(W222="","",W222-IF(X222="",0,X222))</x:f>
      </x:c>
      <x:c r="Z222" s="47" t="str">
        <x:f>IF(OR(K222="",L222="",N222=""),"",ABS(L222-N222)*K222)</x:f>
      </x:c>
      <x:c r="AA222" s="52" t="str">
        <x:f>IFERROR(Y222/Z222,"")</x:f>
      </x:c>
      <x:c r="AB222" s="26"/>
      <x:c r="AC222" s="26"/>
      <x:c r="AD222" s="55"/>
    </x:row>
    <x:row r="223">
      <x:c r="A223" s="26"/>
      <x:c r="B223" s="26"/>
      <x:c r="C223" s="35"/>
      <x:c r="D223" s="39"/>
      <x:c r="E223" s="39"/>
      <x:c r="F223" s="26"/>
      <x:c r="G223" s="26"/>
      <x:c r="H223" s="26"/>
      <x:c r="I223" s="26"/>
      <x:c r="J223" s="26"/>
      <x:c r="K223" s="43"/>
      <x:c r="L223" s="48"/>
      <x:c r="M223" s="48"/>
      <x:c r="N223" s="48"/>
      <x:c r="O223" s="48"/>
      <x:c r="P223" s="48"/>
      <x:c r="Q223" s="48"/>
      <x:c r="R223" s="48"/>
      <x:c r="S223" s="48"/>
      <x:c r="T223" s="48"/>
      <x:c r="U223" s="48"/>
      <x:c r="V223" s="48"/>
      <x:c r="W223" s="47" t="str">
        <x:f>IF(OR(J223="",K223="",L223="",M223=""),"",IF(J223="Long",(M223-L223)*K223,(L223-M223)*K223))</x:f>
      </x:c>
      <x:c r="X223" s="47" t="str">
        <x:f>IF(COUNTA(S223:V223)=0,"",SUM(S223:V223))</x:f>
      </x:c>
      <x:c r="Y223" s="47" t="str">
        <x:f>IF(W223="","",W223-IF(X223="",0,X223))</x:f>
      </x:c>
      <x:c r="Z223" s="47" t="str">
        <x:f>IF(OR(K223="",L223="",N223=""),"",ABS(L223-N223)*K223)</x:f>
      </x:c>
      <x:c r="AA223" s="52" t="str">
        <x:f>IFERROR(Y223/Z223,"")</x:f>
      </x:c>
      <x:c r="AB223" s="26"/>
      <x:c r="AC223" s="26"/>
      <x:c r="AD223" s="55"/>
    </x:row>
    <x:row r="224">
      <x:c r="A224" s="26"/>
      <x:c r="B224" s="26"/>
      <x:c r="C224" s="35"/>
      <x:c r="D224" s="39"/>
      <x:c r="E224" s="39"/>
      <x:c r="F224" s="26"/>
      <x:c r="G224" s="26"/>
      <x:c r="H224" s="26"/>
      <x:c r="I224" s="26"/>
      <x:c r="J224" s="26"/>
      <x:c r="K224" s="43"/>
      <x:c r="L224" s="48"/>
      <x:c r="M224" s="48"/>
      <x:c r="N224" s="48"/>
      <x:c r="O224" s="48"/>
      <x:c r="P224" s="48"/>
      <x:c r="Q224" s="48"/>
      <x:c r="R224" s="48"/>
      <x:c r="S224" s="48"/>
      <x:c r="T224" s="48"/>
      <x:c r="U224" s="48"/>
      <x:c r="V224" s="48"/>
      <x:c r="W224" s="47" t="str">
        <x:f>IF(OR(J224="",K224="",L224="",M224=""),"",IF(J224="Long",(M224-L224)*K224,(L224-M224)*K224))</x:f>
      </x:c>
      <x:c r="X224" s="47" t="str">
        <x:f>IF(COUNTA(S224:V224)=0,"",SUM(S224:V224))</x:f>
      </x:c>
      <x:c r="Y224" s="47" t="str">
        <x:f>IF(W224="","",W224-IF(X224="",0,X224))</x:f>
      </x:c>
      <x:c r="Z224" s="47" t="str">
        <x:f>IF(OR(K224="",L224="",N224=""),"",ABS(L224-N224)*K224)</x:f>
      </x:c>
      <x:c r="AA224" s="52" t="str">
        <x:f>IFERROR(Y224/Z224,"")</x:f>
      </x:c>
      <x:c r="AB224" s="26"/>
      <x:c r="AC224" s="26"/>
      <x:c r="AD224" s="55"/>
    </x:row>
    <x:row r="225">
      <x:c r="A225" s="26"/>
      <x:c r="B225" s="26"/>
      <x:c r="C225" s="35"/>
      <x:c r="D225" s="39"/>
      <x:c r="E225" s="39"/>
      <x:c r="F225" s="26"/>
      <x:c r="G225" s="26"/>
      <x:c r="H225" s="26"/>
      <x:c r="I225" s="26"/>
      <x:c r="J225" s="26"/>
      <x:c r="K225" s="43"/>
      <x:c r="L225" s="48"/>
      <x:c r="M225" s="48"/>
      <x:c r="N225" s="48"/>
      <x:c r="O225" s="48"/>
      <x:c r="P225" s="48"/>
      <x:c r="Q225" s="48"/>
      <x:c r="R225" s="48"/>
      <x:c r="S225" s="48"/>
      <x:c r="T225" s="48"/>
      <x:c r="U225" s="48"/>
      <x:c r="V225" s="48"/>
      <x:c r="W225" s="47" t="str">
        <x:f>IF(OR(J225="",K225="",L225="",M225=""),"",IF(J225="Long",(M225-L225)*K225,(L225-M225)*K225))</x:f>
      </x:c>
      <x:c r="X225" s="47" t="str">
        <x:f>IF(COUNTA(S225:V225)=0,"",SUM(S225:V225))</x:f>
      </x:c>
      <x:c r="Y225" s="47" t="str">
        <x:f>IF(W225="","",W225-IF(X225="",0,X225))</x:f>
      </x:c>
      <x:c r="Z225" s="47" t="str">
        <x:f>IF(OR(K225="",L225="",N225=""),"",ABS(L225-N225)*K225)</x:f>
      </x:c>
      <x:c r="AA225" s="52" t="str">
        <x:f>IFERROR(Y225/Z225,"")</x:f>
      </x:c>
      <x:c r="AB225" s="26"/>
      <x:c r="AC225" s="26"/>
      <x:c r="AD225" s="55"/>
    </x:row>
    <x:row r="226">
      <x:c r="A226" s="26"/>
      <x:c r="B226" s="26"/>
      <x:c r="C226" s="35"/>
      <x:c r="D226" s="39"/>
      <x:c r="E226" s="39"/>
      <x:c r="F226" s="26"/>
      <x:c r="G226" s="26"/>
      <x:c r="H226" s="26"/>
      <x:c r="I226" s="26"/>
      <x:c r="J226" s="26"/>
      <x:c r="K226" s="43"/>
      <x:c r="L226" s="48"/>
      <x:c r="M226" s="48"/>
      <x:c r="N226" s="48"/>
      <x:c r="O226" s="48"/>
      <x:c r="P226" s="48"/>
      <x:c r="Q226" s="48"/>
      <x:c r="R226" s="48"/>
      <x:c r="S226" s="48"/>
      <x:c r="T226" s="48"/>
      <x:c r="U226" s="48"/>
      <x:c r="V226" s="48"/>
      <x:c r="W226" s="47" t="str">
        <x:f>IF(OR(J226="",K226="",L226="",M226=""),"",IF(J226="Long",(M226-L226)*K226,(L226-M226)*K226))</x:f>
      </x:c>
      <x:c r="X226" s="47" t="str">
        <x:f>IF(COUNTA(S226:V226)=0,"",SUM(S226:V226))</x:f>
      </x:c>
      <x:c r="Y226" s="47" t="str">
        <x:f>IF(W226="","",W226-IF(X226="",0,X226))</x:f>
      </x:c>
      <x:c r="Z226" s="47" t="str">
        <x:f>IF(OR(K226="",L226="",N226=""),"",ABS(L226-N226)*K226)</x:f>
      </x:c>
      <x:c r="AA226" s="52" t="str">
        <x:f>IFERROR(Y226/Z226,"")</x:f>
      </x:c>
      <x:c r="AB226" s="26"/>
      <x:c r="AC226" s="26"/>
      <x:c r="AD226" s="55"/>
    </x:row>
    <x:row r="227">
      <x:c r="A227" s="26"/>
      <x:c r="B227" s="26"/>
      <x:c r="C227" s="35"/>
      <x:c r="D227" s="39"/>
      <x:c r="E227" s="39"/>
      <x:c r="F227" s="26"/>
      <x:c r="G227" s="26"/>
      <x:c r="H227" s="26"/>
      <x:c r="I227" s="26"/>
      <x:c r="J227" s="26"/>
      <x:c r="K227" s="43"/>
      <x:c r="L227" s="48"/>
      <x:c r="M227" s="48"/>
      <x:c r="N227" s="48"/>
      <x:c r="O227" s="48"/>
      <x:c r="P227" s="48"/>
      <x:c r="Q227" s="48"/>
      <x:c r="R227" s="48"/>
      <x:c r="S227" s="48"/>
      <x:c r="T227" s="48"/>
      <x:c r="U227" s="48"/>
      <x:c r="V227" s="48"/>
      <x:c r="W227" s="47" t="str">
        <x:f>IF(OR(J227="",K227="",L227="",M227=""),"",IF(J227="Long",(M227-L227)*K227,(L227-M227)*K227))</x:f>
      </x:c>
      <x:c r="X227" s="47" t="str">
        <x:f>IF(COUNTA(S227:V227)=0,"",SUM(S227:V227))</x:f>
      </x:c>
      <x:c r="Y227" s="47" t="str">
        <x:f>IF(W227="","",W227-IF(X227="",0,X227))</x:f>
      </x:c>
      <x:c r="Z227" s="47" t="str">
        <x:f>IF(OR(K227="",L227="",N227=""),"",ABS(L227-N227)*K227)</x:f>
      </x:c>
      <x:c r="AA227" s="52" t="str">
        <x:f>IFERROR(Y227/Z227,"")</x:f>
      </x:c>
      <x:c r="AB227" s="26"/>
      <x:c r="AC227" s="26"/>
      <x:c r="AD227" s="55"/>
    </x:row>
    <x:row r="228">
      <x:c r="A228" s="26"/>
      <x:c r="B228" s="26"/>
      <x:c r="C228" s="35"/>
      <x:c r="D228" s="39"/>
      <x:c r="E228" s="39"/>
      <x:c r="F228" s="26"/>
      <x:c r="G228" s="26"/>
      <x:c r="H228" s="26"/>
      <x:c r="I228" s="26"/>
      <x:c r="J228" s="26"/>
      <x:c r="K228" s="43"/>
      <x:c r="L228" s="48"/>
      <x:c r="M228" s="48"/>
      <x:c r="N228" s="48"/>
      <x:c r="O228" s="48"/>
      <x:c r="P228" s="48"/>
      <x:c r="Q228" s="48"/>
      <x:c r="R228" s="48"/>
      <x:c r="S228" s="48"/>
      <x:c r="T228" s="48"/>
      <x:c r="U228" s="48"/>
      <x:c r="V228" s="48"/>
      <x:c r="W228" s="47" t="str">
        <x:f>IF(OR(J228="",K228="",L228="",M228=""),"",IF(J228="Long",(M228-L228)*K228,(L228-M228)*K228))</x:f>
      </x:c>
      <x:c r="X228" s="47" t="str">
        <x:f>IF(COUNTA(S228:V228)=0,"",SUM(S228:V228))</x:f>
      </x:c>
      <x:c r="Y228" s="47" t="str">
        <x:f>IF(W228="","",W228-IF(X228="",0,X228))</x:f>
      </x:c>
      <x:c r="Z228" s="47" t="str">
        <x:f>IF(OR(K228="",L228="",N228=""),"",ABS(L228-N228)*K228)</x:f>
      </x:c>
      <x:c r="AA228" s="52" t="str">
        <x:f>IFERROR(Y228/Z228,"")</x:f>
      </x:c>
      <x:c r="AB228" s="26"/>
      <x:c r="AC228" s="26"/>
      <x:c r="AD228" s="55"/>
    </x:row>
    <x:row r="229">
      <x:c r="A229" s="26"/>
      <x:c r="B229" s="26"/>
      <x:c r="C229" s="35"/>
      <x:c r="D229" s="39"/>
      <x:c r="E229" s="39"/>
      <x:c r="F229" s="26"/>
      <x:c r="G229" s="26"/>
      <x:c r="H229" s="26"/>
      <x:c r="I229" s="26"/>
      <x:c r="J229" s="26"/>
      <x:c r="K229" s="43"/>
      <x:c r="L229" s="48"/>
      <x:c r="M229" s="48"/>
      <x:c r="N229" s="48"/>
      <x:c r="O229" s="48"/>
      <x:c r="P229" s="48"/>
      <x:c r="Q229" s="48"/>
      <x:c r="R229" s="48"/>
      <x:c r="S229" s="48"/>
      <x:c r="T229" s="48"/>
      <x:c r="U229" s="48"/>
      <x:c r="V229" s="48"/>
      <x:c r="W229" s="47" t="str">
        <x:f>IF(OR(J229="",K229="",L229="",M229=""),"",IF(J229="Long",(M229-L229)*K229,(L229-M229)*K229))</x:f>
      </x:c>
      <x:c r="X229" s="47" t="str">
        <x:f>IF(COUNTA(S229:V229)=0,"",SUM(S229:V229))</x:f>
      </x:c>
      <x:c r="Y229" s="47" t="str">
        <x:f>IF(W229="","",W229-IF(X229="",0,X229))</x:f>
      </x:c>
      <x:c r="Z229" s="47" t="str">
        <x:f>IF(OR(K229="",L229="",N229=""),"",ABS(L229-N229)*K229)</x:f>
      </x:c>
      <x:c r="AA229" s="52" t="str">
        <x:f>IFERROR(Y229/Z229,"")</x:f>
      </x:c>
      <x:c r="AB229" s="26"/>
      <x:c r="AC229" s="26"/>
      <x:c r="AD229" s="55"/>
    </x:row>
    <x:row r="230">
      <x:c r="A230" s="26"/>
      <x:c r="B230" s="26"/>
      <x:c r="C230" s="35"/>
      <x:c r="D230" s="39"/>
      <x:c r="E230" s="39"/>
      <x:c r="F230" s="26"/>
      <x:c r="G230" s="26"/>
      <x:c r="H230" s="26"/>
      <x:c r="I230" s="26"/>
      <x:c r="J230" s="26"/>
      <x:c r="K230" s="43"/>
      <x:c r="L230" s="48"/>
      <x:c r="M230" s="48"/>
      <x:c r="N230" s="48"/>
      <x:c r="O230" s="48"/>
      <x:c r="P230" s="48"/>
      <x:c r="Q230" s="48"/>
      <x:c r="R230" s="48"/>
      <x:c r="S230" s="48"/>
      <x:c r="T230" s="48"/>
      <x:c r="U230" s="48"/>
      <x:c r="V230" s="48"/>
      <x:c r="W230" s="47" t="str">
        <x:f>IF(OR(J230="",K230="",L230="",M230=""),"",IF(J230="Long",(M230-L230)*K230,(L230-M230)*K230))</x:f>
      </x:c>
      <x:c r="X230" s="47" t="str">
        <x:f>IF(COUNTA(S230:V230)=0,"",SUM(S230:V230))</x:f>
      </x:c>
      <x:c r="Y230" s="47" t="str">
        <x:f>IF(W230="","",W230-IF(X230="",0,X230))</x:f>
      </x:c>
      <x:c r="Z230" s="47" t="str">
        <x:f>IF(OR(K230="",L230="",N230=""),"",ABS(L230-N230)*K230)</x:f>
      </x:c>
      <x:c r="AA230" s="52" t="str">
        <x:f>IFERROR(Y230/Z230,"")</x:f>
      </x:c>
      <x:c r="AB230" s="26"/>
      <x:c r="AC230" s="26"/>
      <x:c r="AD230" s="55"/>
    </x:row>
    <x:row r="231">
      <x:c r="A231" s="26"/>
      <x:c r="B231" s="26"/>
      <x:c r="C231" s="35"/>
      <x:c r="D231" s="39"/>
      <x:c r="E231" s="39"/>
      <x:c r="F231" s="26"/>
      <x:c r="G231" s="26"/>
      <x:c r="H231" s="26"/>
      <x:c r="I231" s="26"/>
      <x:c r="J231" s="26"/>
      <x:c r="K231" s="43"/>
      <x:c r="L231" s="48"/>
      <x:c r="M231" s="48"/>
      <x:c r="N231" s="48"/>
      <x:c r="O231" s="48"/>
      <x:c r="P231" s="48"/>
      <x:c r="Q231" s="48"/>
      <x:c r="R231" s="48"/>
      <x:c r="S231" s="48"/>
      <x:c r="T231" s="48"/>
      <x:c r="U231" s="48"/>
      <x:c r="V231" s="48"/>
      <x:c r="W231" s="47" t="str">
        <x:f>IF(OR(J231="",K231="",L231="",M231=""),"",IF(J231="Long",(M231-L231)*K231,(L231-M231)*K231))</x:f>
      </x:c>
      <x:c r="X231" s="47" t="str">
        <x:f>IF(COUNTA(S231:V231)=0,"",SUM(S231:V231))</x:f>
      </x:c>
      <x:c r="Y231" s="47" t="str">
        <x:f>IF(W231="","",W231-IF(X231="",0,X231))</x:f>
      </x:c>
      <x:c r="Z231" s="47" t="str">
        <x:f>IF(OR(K231="",L231="",N231=""),"",ABS(L231-N231)*K231)</x:f>
      </x:c>
      <x:c r="AA231" s="52" t="str">
        <x:f>IFERROR(Y231/Z231,"")</x:f>
      </x:c>
      <x:c r="AB231" s="26"/>
      <x:c r="AC231" s="26"/>
      <x:c r="AD231" s="55"/>
    </x:row>
    <x:row r="232">
      <x:c r="A232" s="26"/>
      <x:c r="B232" s="26"/>
      <x:c r="C232" s="35"/>
      <x:c r="D232" s="39"/>
      <x:c r="E232" s="39"/>
      <x:c r="F232" s="26"/>
      <x:c r="G232" s="26"/>
      <x:c r="H232" s="26"/>
      <x:c r="I232" s="26"/>
      <x:c r="J232" s="26"/>
      <x:c r="K232" s="43"/>
      <x:c r="L232" s="48"/>
      <x:c r="M232" s="48"/>
      <x:c r="N232" s="48"/>
      <x:c r="O232" s="48"/>
      <x:c r="P232" s="48"/>
      <x:c r="Q232" s="48"/>
      <x:c r="R232" s="48"/>
      <x:c r="S232" s="48"/>
      <x:c r="T232" s="48"/>
      <x:c r="U232" s="48"/>
      <x:c r="V232" s="48"/>
      <x:c r="W232" s="47" t="str">
        <x:f>IF(OR(J232="",K232="",L232="",M232=""),"",IF(J232="Long",(M232-L232)*K232,(L232-M232)*K232))</x:f>
      </x:c>
      <x:c r="X232" s="47" t="str">
        <x:f>IF(COUNTA(S232:V232)=0,"",SUM(S232:V232))</x:f>
      </x:c>
      <x:c r="Y232" s="47" t="str">
        <x:f>IF(W232="","",W232-IF(X232="",0,X232))</x:f>
      </x:c>
      <x:c r="Z232" s="47" t="str">
        <x:f>IF(OR(K232="",L232="",N232=""),"",ABS(L232-N232)*K232)</x:f>
      </x:c>
      <x:c r="AA232" s="52" t="str">
        <x:f>IFERROR(Y232/Z232,"")</x:f>
      </x:c>
      <x:c r="AB232" s="26"/>
      <x:c r="AC232" s="26"/>
      <x:c r="AD232" s="55"/>
    </x:row>
    <x:row r="233">
      <x:c r="A233" s="26"/>
      <x:c r="B233" s="26"/>
      <x:c r="C233" s="35"/>
      <x:c r="D233" s="39"/>
      <x:c r="E233" s="39"/>
      <x:c r="F233" s="26"/>
      <x:c r="G233" s="26"/>
      <x:c r="H233" s="26"/>
      <x:c r="I233" s="26"/>
      <x:c r="J233" s="26"/>
      <x:c r="K233" s="43"/>
      <x:c r="L233" s="48"/>
      <x:c r="M233" s="48"/>
      <x:c r="N233" s="48"/>
      <x:c r="O233" s="48"/>
      <x:c r="P233" s="48"/>
      <x:c r="Q233" s="48"/>
      <x:c r="R233" s="48"/>
      <x:c r="S233" s="48"/>
      <x:c r="T233" s="48"/>
      <x:c r="U233" s="48"/>
      <x:c r="V233" s="48"/>
      <x:c r="W233" s="47" t="str">
        <x:f>IF(OR(J233="",K233="",L233="",M233=""),"",IF(J233="Long",(M233-L233)*K233,(L233-M233)*K233))</x:f>
      </x:c>
      <x:c r="X233" s="47" t="str">
        <x:f>IF(COUNTA(S233:V233)=0,"",SUM(S233:V233))</x:f>
      </x:c>
      <x:c r="Y233" s="47" t="str">
        <x:f>IF(W233="","",W233-IF(X233="",0,X233))</x:f>
      </x:c>
      <x:c r="Z233" s="47" t="str">
        <x:f>IF(OR(K233="",L233="",N233=""),"",ABS(L233-N233)*K233)</x:f>
      </x:c>
      <x:c r="AA233" s="52" t="str">
        <x:f>IFERROR(Y233/Z233,"")</x:f>
      </x:c>
      <x:c r="AB233" s="26"/>
      <x:c r="AC233" s="26"/>
      <x:c r="AD233" s="55"/>
    </x:row>
    <x:row r="234">
      <x:c r="A234" s="26"/>
      <x:c r="B234" s="26"/>
      <x:c r="C234" s="35"/>
      <x:c r="D234" s="39"/>
      <x:c r="E234" s="39"/>
      <x:c r="F234" s="26"/>
      <x:c r="G234" s="26"/>
      <x:c r="H234" s="26"/>
      <x:c r="I234" s="26"/>
      <x:c r="J234" s="26"/>
      <x:c r="K234" s="43"/>
      <x:c r="L234" s="48"/>
      <x:c r="M234" s="48"/>
      <x:c r="N234" s="48"/>
      <x:c r="O234" s="48"/>
      <x:c r="P234" s="48"/>
      <x:c r="Q234" s="48"/>
      <x:c r="R234" s="48"/>
      <x:c r="S234" s="48"/>
      <x:c r="T234" s="48"/>
      <x:c r="U234" s="48"/>
      <x:c r="V234" s="48"/>
      <x:c r="W234" s="47" t="str">
        <x:f>IF(OR(J234="",K234="",L234="",M234=""),"",IF(J234="Long",(M234-L234)*K234,(L234-M234)*K234))</x:f>
      </x:c>
      <x:c r="X234" s="47" t="str">
        <x:f>IF(COUNTA(S234:V234)=0,"",SUM(S234:V234))</x:f>
      </x:c>
      <x:c r="Y234" s="47" t="str">
        <x:f>IF(W234="","",W234-IF(X234="",0,X234))</x:f>
      </x:c>
      <x:c r="Z234" s="47" t="str">
        <x:f>IF(OR(K234="",L234="",N234=""),"",ABS(L234-N234)*K234)</x:f>
      </x:c>
      <x:c r="AA234" s="52" t="str">
        <x:f>IFERROR(Y234/Z234,"")</x:f>
      </x:c>
      <x:c r="AB234" s="26"/>
      <x:c r="AC234" s="26"/>
      <x:c r="AD234" s="55"/>
    </x:row>
    <x:row r="235">
      <x:c r="A235" s="26"/>
      <x:c r="B235" s="26"/>
      <x:c r="C235" s="35"/>
      <x:c r="D235" s="39"/>
      <x:c r="E235" s="39"/>
      <x:c r="F235" s="26"/>
      <x:c r="G235" s="26"/>
      <x:c r="H235" s="26"/>
      <x:c r="I235" s="26"/>
      <x:c r="J235" s="26"/>
      <x:c r="K235" s="43"/>
      <x:c r="L235" s="48"/>
      <x:c r="M235" s="48"/>
      <x:c r="N235" s="48"/>
      <x:c r="O235" s="48"/>
      <x:c r="P235" s="48"/>
      <x:c r="Q235" s="48"/>
      <x:c r="R235" s="48"/>
      <x:c r="S235" s="48"/>
      <x:c r="T235" s="48"/>
      <x:c r="U235" s="48"/>
      <x:c r="V235" s="48"/>
      <x:c r="W235" s="47" t="str">
        <x:f>IF(OR(J235="",K235="",L235="",M235=""),"",IF(J235="Long",(M235-L235)*K235,(L235-M235)*K235))</x:f>
      </x:c>
      <x:c r="X235" s="47" t="str">
        <x:f>IF(COUNTA(S235:V235)=0,"",SUM(S235:V235))</x:f>
      </x:c>
      <x:c r="Y235" s="47" t="str">
        <x:f>IF(W235="","",W235-IF(X235="",0,X235))</x:f>
      </x:c>
      <x:c r="Z235" s="47" t="str">
        <x:f>IF(OR(K235="",L235="",N235=""),"",ABS(L235-N235)*K235)</x:f>
      </x:c>
      <x:c r="AA235" s="52" t="str">
        <x:f>IFERROR(Y235/Z235,"")</x:f>
      </x:c>
      <x:c r="AB235" s="26"/>
      <x:c r="AC235" s="26"/>
      <x:c r="AD235" s="55"/>
    </x:row>
    <x:row r="236">
      <x:c r="A236" s="26"/>
      <x:c r="B236" s="26"/>
      <x:c r="C236" s="35"/>
      <x:c r="D236" s="39"/>
      <x:c r="E236" s="39"/>
      <x:c r="F236" s="26"/>
      <x:c r="G236" s="26"/>
      <x:c r="H236" s="26"/>
      <x:c r="I236" s="26"/>
      <x:c r="J236" s="26"/>
      <x:c r="K236" s="43"/>
      <x:c r="L236" s="48"/>
      <x:c r="M236" s="48"/>
      <x:c r="N236" s="48"/>
      <x:c r="O236" s="48"/>
      <x:c r="P236" s="48"/>
      <x:c r="Q236" s="48"/>
      <x:c r="R236" s="48"/>
      <x:c r="S236" s="48"/>
      <x:c r="T236" s="48"/>
      <x:c r="U236" s="48"/>
      <x:c r="V236" s="48"/>
      <x:c r="W236" s="47" t="str">
        <x:f>IF(OR(J236="",K236="",L236="",M236=""),"",IF(J236="Long",(M236-L236)*K236,(L236-M236)*K236))</x:f>
      </x:c>
      <x:c r="X236" s="47" t="str">
        <x:f>IF(COUNTA(S236:V236)=0,"",SUM(S236:V236))</x:f>
      </x:c>
      <x:c r="Y236" s="47" t="str">
        <x:f>IF(W236="","",W236-IF(X236="",0,X236))</x:f>
      </x:c>
      <x:c r="Z236" s="47" t="str">
        <x:f>IF(OR(K236="",L236="",N236=""),"",ABS(L236-N236)*K236)</x:f>
      </x:c>
      <x:c r="AA236" s="52" t="str">
        <x:f>IFERROR(Y236/Z236,"")</x:f>
      </x:c>
      <x:c r="AB236" s="26"/>
      <x:c r="AC236" s="26"/>
      <x:c r="AD236" s="55"/>
    </x:row>
    <x:row r="237">
      <x:c r="A237" s="26"/>
      <x:c r="B237" s="26"/>
      <x:c r="C237" s="35"/>
      <x:c r="D237" s="39"/>
      <x:c r="E237" s="39"/>
      <x:c r="F237" s="26"/>
      <x:c r="G237" s="26"/>
      <x:c r="H237" s="26"/>
      <x:c r="I237" s="26"/>
      <x:c r="J237" s="26"/>
      <x:c r="K237" s="43"/>
      <x:c r="L237" s="48"/>
      <x:c r="M237" s="48"/>
      <x:c r="N237" s="48"/>
      <x:c r="O237" s="48"/>
      <x:c r="P237" s="48"/>
      <x:c r="Q237" s="48"/>
      <x:c r="R237" s="48"/>
      <x:c r="S237" s="48"/>
      <x:c r="T237" s="48"/>
      <x:c r="U237" s="48"/>
      <x:c r="V237" s="48"/>
      <x:c r="W237" s="47" t="str">
        <x:f>IF(OR(J237="",K237="",L237="",M237=""),"",IF(J237="Long",(M237-L237)*K237,(L237-M237)*K237))</x:f>
      </x:c>
      <x:c r="X237" s="47" t="str">
        <x:f>IF(COUNTA(S237:V237)=0,"",SUM(S237:V237))</x:f>
      </x:c>
      <x:c r="Y237" s="47" t="str">
        <x:f>IF(W237="","",W237-IF(X237="",0,X237))</x:f>
      </x:c>
      <x:c r="Z237" s="47" t="str">
        <x:f>IF(OR(K237="",L237="",N237=""),"",ABS(L237-N237)*K237)</x:f>
      </x:c>
      <x:c r="AA237" s="52" t="str">
        <x:f>IFERROR(Y237/Z237,"")</x:f>
      </x:c>
      <x:c r="AB237" s="26"/>
      <x:c r="AC237" s="26"/>
      <x:c r="AD237" s="55"/>
    </x:row>
    <x:row r="238">
      <x:c r="A238" s="26"/>
      <x:c r="B238" s="26"/>
      <x:c r="C238" s="35"/>
      <x:c r="D238" s="39"/>
      <x:c r="E238" s="39"/>
      <x:c r="F238" s="26"/>
      <x:c r="G238" s="26"/>
      <x:c r="H238" s="26"/>
      <x:c r="I238" s="26"/>
      <x:c r="J238" s="26"/>
      <x:c r="K238" s="43"/>
      <x:c r="L238" s="48"/>
      <x:c r="M238" s="48"/>
      <x:c r="N238" s="48"/>
      <x:c r="O238" s="48"/>
      <x:c r="P238" s="48"/>
      <x:c r="Q238" s="48"/>
      <x:c r="R238" s="48"/>
      <x:c r="S238" s="48"/>
      <x:c r="T238" s="48"/>
      <x:c r="U238" s="48"/>
      <x:c r="V238" s="48"/>
      <x:c r="W238" s="47" t="str">
        <x:f>IF(OR(J238="",K238="",L238="",M238=""),"",IF(J238="Long",(M238-L238)*K238,(L238-M238)*K238))</x:f>
      </x:c>
      <x:c r="X238" s="47" t="str">
        <x:f>IF(COUNTA(S238:V238)=0,"",SUM(S238:V238))</x:f>
      </x:c>
      <x:c r="Y238" s="47" t="str">
        <x:f>IF(W238="","",W238-IF(X238="",0,X238))</x:f>
      </x:c>
      <x:c r="Z238" s="47" t="str">
        <x:f>IF(OR(K238="",L238="",N238=""),"",ABS(L238-N238)*K238)</x:f>
      </x:c>
      <x:c r="AA238" s="52" t="str">
        <x:f>IFERROR(Y238/Z238,"")</x:f>
      </x:c>
      <x:c r="AB238" s="26"/>
      <x:c r="AC238" s="26"/>
      <x:c r="AD238" s="55"/>
    </x:row>
    <x:row r="239">
      <x:c r="A239" s="26"/>
      <x:c r="B239" s="26"/>
      <x:c r="C239" s="35"/>
      <x:c r="D239" s="39"/>
      <x:c r="E239" s="39"/>
      <x:c r="F239" s="26"/>
      <x:c r="G239" s="26"/>
      <x:c r="H239" s="26"/>
      <x:c r="I239" s="26"/>
      <x:c r="J239" s="26"/>
      <x:c r="K239" s="43"/>
      <x:c r="L239" s="48"/>
      <x:c r="M239" s="48"/>
      <x:c r="N239" s="48"/>
      <x:c r="O239" s="48"/>
      <x:c r="P239" s="48"/>
      <x:c r="Q239" s="48"/>
      <x:c r="R239" s="48"/>
      <x:c r="S239" s="48"/>
      <x:c r="T239" s="48"/>
      <x:c r="U239" s="48"/>
      <x:c r="V239" s="48"/>
      <x:c r="W239" s="47" t="str">
        <x:f>IF(OR(J239="",K239="",L239="",M239=""),"",IF(J239="Long",(M239-L239)*K239,(L239-M239)*K239))</x:f>
      </x:c>
      <x:c r="X239" s="47" t="str">
        <x:f>IF(COUNTA(S239:V239)=0,"",SUM(S239:V239))</x:f>
      </x:c>
      <x:c r="Y239" s="47" t="str">
        <x:f>IF(W239="","",W239-IF(X239="",0,X239))</x:f>
      </x:c>
      <x:c r="Z239" s="47" t="str">
        <x:f>IF(OR(K239="",L239="",N239=""),"",ABS(L239-N239)*K239)</x:f>
      </x:c>
      <x:c r="AA239" s="52" t="str">
        <x:f>IFERROR(Y239/Z239,"")</x:f>
      </x:c>
      <x:c r="AB239" s="26"/>
      <x:c r="AC239" s="26"/>
      <x:c r="AD239" s="55"/>
    </x:row>
    <x:row r="240">
      <x:c r="A240" s="26"/>
      <x:c r="B240" s="26"/>
      <x:c r="C240" s="35"/>
      <x:c r="D240" s="39"/>
      <x:c r="E240" s="39"/>
      <x:c r="F240" s="26"/>
      <x:c r="G240" s="26"/>
      <x:c r="H240" s="26"/>
      <x:c r="I240" s="26"/>
      <x:c r="J240" s="26"/>
      <x:c r="K240" s="43"/>
      <x:c r="L240" s="48"/>
      <x:c r="M240" s="48"/>
      <x:c r="N240" s="48"/>
      <x:c r="O240" s="48"/>
      <x:c r="P240" s="48"/>
      <x:c r="Q240" s="48"/>
      <x:c r="R240" s="48"/>
      <x:c r="S240" s="48"/>
      <x:c r="T240" s="48"/>
      <x:c r="U240" s="48"/>
      <x:c r="V240" s="48"/>
      <x:c r="W240" s="47" t="str">
        <x:f>IF(OR(J240="",K240="",L240="",M240=""),"",IF(J240="Long",(M240-L240)*K240,(L240-M240)*K240))</x:f>
      </x:c>
      <x:c r="X240" s="47" t="str">
        <x:f>IF(COUNTA(S240:V240)=0,"",SUM(S240:V240))</x:f>
      </x:c>
      <x:c r="Y240" s="47" t="str">
        <x:f>IF(W240="","",W240-IF(X240="",0,X240))</x:f>
      </x:c>
      <x:c r="Z240" s="47" t="str">
        <x:f>IF(OR(K240="",L240="",N240=""),"",ABS(L240-N240)*K240)</x:f>
      </x:c>
      <x:c r="AA240" s="52" t="str">
        <x:f>IFERROR(Y240/Z240,"")</x:f>
      </x:c>
      <x:c r="AB240" s="26"/>
      <x:c r="AC240" s="26"/>
      <x:c r="AD240" s="55"/>
    </x:row>
    <x:row r="241">
      <x:c r="A241" s="26"/>
      <x:c r="B241" s="26"/>
      <x:c r="C241" s="35"/>
      <x:c r="D241" s="39"/>
      <x:c r="E241" s="39"/>
      <x:c r="F241" s="26"/>
      <x:c r="G241" s="26"/>
      <x:c r="H241" s="26"/>
      <x:c r="I241" s="26"/>
      <x:c r="J241" s="26"/>
      <x:c r="K241" s="43"/>
      <x:c r="L241" s="48"/>
      <x:c r="M241" s="48"/>
      <x:c r="N241" s="48"/>
      <x:c r="O241" s="48"/>
      <x:c r="P241" s="48"/>
      <x:c r="Q241" s="48"/>
      <x:c r="R241" s="48"/>
      <x:c r="S241" s="48"/>
      <x:c r="T241" s="48"/>
      <x:c r="U241" s="48"/>
      <x:c r="V241" s="48"/>
      <x:c r="W241" s="47" t="str">
        <x:f>IF(OR(J241="",K241="",L241="",M241=""),"",IF(J241="Long",(M241-L241)*K241,(L241-M241)*K241))</x:f>
      </x:c>
      <x:c r="X241" s="47" t="str">
        <x:f>IF(COUNTA(S241:V241)=0,"",SUM(S241:V241))</x:f>
      </x:c>
      <x:c r="Y241" s="47" t="str">
        <x:f>IF(W241="","",W241-IF(X241="",0,X241))</x:f>
      </x:c>
      <x:c r="Z241" s="47" t="str">
        <x:f>IF(OR(K241="",L241="",N241=""),"",ABS(L241-N241)*K241)</x:f>
      </x:c>
      <x:c r="AA241" s="52" t="str">
        <x:f>IFERROR(Y241/Z241,"")</x:f>
      </x:c>
      <x:c r="AB241" s="26"/>
      <x:c r="AC241" s="26"/>
      <x:c r="AD241" s="55"/>
    </x:row>
    <x:row r="242">
      <x:c r="A242" s="26"/>
      <x:c r="B242" s="26"/>
      <x:c r="C242" s="35"/>
      <x:c r="D242" s="39"/>
      <x:c r="E242" s="39"/>
      <x:c r="F242" s="26"/>
      <x:c r="G242" s="26"/>
      <x:c r="H242" s="26"/>
      <x:c r="I242" s="26"/>
      <x:c r="J242" s="26"/>
      <x:c r="K242" s="43"/>
      <x:c r="L242" s="48"/>
      <x:c r="M242" s="48"/>
      <x:c r="N242" s="48"/>
      <x:c r="O242" s="48"/>
      <x:c r="P242" s="48"/>
      <x:c r="Q242" s="48"/>
      <x:c r="R242" s="48"/>
      <x:c r="S242" s="48"/>
      <x:c r="T242" s="48"/>
      <x:c r="U242" s="48"/>
      <x:c r="V242" s="48"/>
      <x:c r="W242" s="47" t="str">
        <x:f>IF(OR(J242="",K242="",L242="",M242=""),"",IF(J242="Long",(M242-L242)*K242,(L242-M242)*K242))</x:f>
      </x:c>
      <x:c r="X242" s="47" t="str">
        <x:f>IF(COUNTA(S242:V242)=0,"",SUM(S242:V242))</x:f>
      </x:c>
      <x:c r="Y242" s="47" t="str">
        <x:f>IF(W242="","",W242-IF(X242="",0,X242))</x:f>
      </x:c>
      <x:c r="Z242" s="47" t="str">
        <x:f>IF(OR(K242="",L242="",N242=""),"",ABS(L242-N242)*K242)</x:f>
      </x:c>
      <x:c r="AA242" s="52" t="str">
        <x:f>IFERROR(Y242/Z242,"")</x:f>
      </x:c>
      <x:c r="AB242" s="26"/>
      <x:c r="AC242" s="26"/>
      <x:c r="AD242" s="55"/>
    </x:row>
    <x:row r="243">
      <x:c r="A243" s="26"/>
      <x:c r="B243" s="26"/>
      <x:c r="C243" s="35"/>
      <x:c r="D243" s="39"/>
      <x:c r="E243" s="39"/>
      <x:c r="F243" s="26"/>
      <x:c r="G243" s="26"/>
      <x:c r="H243" s="26"/>
      <x:c r="I243" s="26"/>
      <x:c r="J243" s="26"/>
      <x:c r="K243" s="43"/>
      <x:c r="L243" s="48"/>
      <x:c r="M243" s="48"/>
      <x:c r="N243" s="48"/>
      <x:c r="O243" s="48"/>
      <x:c r="P243" s="48"/>
      <x:c r="Q243" s="48"/>
      <x:c r="R243" s="48"/>
      <x:c r="S243" s="48"/>
      <x:c r="T243" s="48"/>
      <x:c r="U243" s="48"/>
      <x:c r="V243" s="48"/>
      <x:c r="W243" s="47" t="str">
        <x:f>IF(OR(J243="",K243="",L243="",M243=""),"",IF(J243="Long",(M243-L243)*K243,(L243-M243)*K243))</x:f>
      </x:c>
      <x:c r="X243" s="47" t="str">
        <x:f>IF(COUNTA(S243:V243)=0,"",SUM(S243:V243))</x:f>
      </x:c>
      <x:c r="Y243" s="47" t="str">
        <x:f>IF(W243="","",W243-IF(X243="",0,X243))</x:f>
      </x:c>
      <x:c r="Z243" s="47" t="str">
        <x:f>IF(OR(K243="",L243="",N243=""),"",ABS(L243-N243)*K243)</x:f>
      </x:c>
      <x:c r="AA243" s="52" t="str">
        <x:f>IFERROR(Y243/Z243,"")</x:f>
      </x:c>
      <x:c r="AB243" s="26"/>
      <x:c r="AC243" s="26"/>
      <x:c r="AD243" s="55"/>
    </x:row>
    <x:row r="244">
      <x:c r="A244" s="26"/>
      <x:c r="B244" s="26"/>
      <x:c r="C244" s="35"/>
      <x:c r="D244" s="39"/>
      <x:c r="E244" s="39"/>
      <x:c r="F244" s="26"/>
      <x:c r="G244" s="26"/>
      <x:c r="H244" s="26"/>
      <x:c r="I244" s="26"/>
      <x:c r="J244" s="26"/>
      <x:c r="K244" s="43"/>
      <x:c r="L244" s="48"/>
      <x:c r="M244" s="48"/>
      <x:c r="N244" s="48"/>
      <x:c r="O244" s="48"/>
      <x:c r="P244" s="48"/>
      <x:c r="Q244" s="48"/>
      <x:c r="R244" s="48"/>
      <x:c r="S244" s="48"/>
      <x:c r="T244" s="48"/>
      <x:c r="U244" s="48"/>
      <x:c r="V244" s="48"/>
      <x:c r="W244" s="47" t="str">
        <x:f>IF(OR(J244="",K244="",L244="",M244=""),"",IF(J244="Long",(M244-L244)*K244,(L244-M244)*K244))</x:f>
      </x:c>
      <x:c r="X244" s="47" t="str">
        <x:f>IF(COUNTA(S244:V244)=0,"",SUM(S244:V244))</x:f>
      </x:c>
      <x:c r="Y244" s="47" t="str">
        <x:f>IF(W244="","",W244-IF(X244="",0,X244))</x:f>
      </x:c>
      <x:c r="Z244" s="47" t="str">
        <x:f>IF(OR(K244="",L244="",N244=""),"",ABS(L244-N244)*K244)</x:f>
      </x:c>
      <x:c r="AA244" s="52" t="str">
        <x:f>IFERROR(Y244/Z244,"")</x:f>
      </x:c>
      <x:c r="AB244" s="26"/>
      <x:c r="AC244" s="26"/>
      <x:c r="AD244" s="55"/>
    </x:row>
    <x:row r="245">
      <x:c r="A245" s="26"/>
      <x:c r="B245" s="26"/>
      <x:c r="C245" s="35"/>
      <x:c r="D245" s="39"/>
      <x:c r="E245" s="39"/>
      <x:c r="F245" s="26"/>
      <x:c r="G245" s="26"/>
      <x:c r="H245" s="26"/>
      <x:c r="I245" s="26"/>
      <x:c r="J245" s="26"/>
      <x:c r="K245" s="43"/>
      <x:c r="L245" s="48"/>
      <x:c r="M245" s="48"/>
      <x:c r="N245" s="48"/>
      <x:c r="O245" s="48"/>
      <x:c r="P245" s="48"/>
      <x:c r="Q245" s="48"/>
      <x:c r="R245" s="48"/>
      <x:c r="S245" s="48"/>
      <x:c r="T245" s="48"/>
      <x:c r="U245" s="48"/>
      <x:c r="V245" s="48"/>
      <x:c r="W245" s="47" t="str">
        <x:f>IF(OR(J245="",K245="",L245="",M245=""),"",IF(J245="Long",(M245-L245)*K245,(L245-M245)*K245))</x:f>
      </x:c>
      <x:c r="X245" s="47" t="str">
        <x:f>IF(COUNTA(S245:V245)=0,"",SUM(S245:V245))</x:f>
      </x:c>
      <x:c r="Y245" s="47" t="str">
        <x:f>IF(W245="","",W245-IF(X245="",0,X245))</x:f>
      </x:c>
      <x:c r="Z245" s="47" t="str">
        <x:f>IF(OR(K245="",L245="",N245=""),"",ABS(L245-N245)*K245)</x:f>
      </x:c>
      <x:c r="AA245" s="52" t="str">
        <x:f>IFERROR(Y245/Z245,"")</x:f>
      </x:c>
      <x:c r="AB245" s="26"/>
      <x:c r="AC245" s="26"/>
      <x:c r="AD245" s="55"/>
    </x:row>
    <x:row r="246">
      <x:c r="A246" s="26"/>
      <x:c r="B246" s="26"/>
      <x:c r="C246" s="35"/>
      <x:c r="D246" s="39"/>
      <x:c r="E246" s="39"/>
      <x:c r="F246" s="26"/>
      <x:c r="G246" s="26"/>
      <x:c r="H246" s="26"/>
      <x:c r="I246" s="26"/>
      <x:c r="J246" s="26"/>
      <x:c r="K246" s="43"/>
      <x:c r="L246" s="48"/>
      <x:c r="M246" s="48"/>
      <x:c r="N246" s="48"/>
      <x:c r="O246" s="48"/>
      <x:c r="P246" s="48"/>
      <x:c r="Q246" s="48"/>
      <x:c r="R246" s="48"/>
      <x:c r="S246" s="48"/>
      <x:c r="T246" s="48"/>
      <x:c r="U246" s="48"/>
      <x:c r="V246" s="48"/>
      <x:c r="W246" s="47" t="str">
        <x:f>IF(OR(J246="",K246="",L246="",M246=""),"",IF(J246="Long",(M246-L246)*K246,(L246-M246)*K246))</x:f>
      </x:c>
      <x:c r="X246" s="47" t="str">
        <x:f>IF(COUNTA(S246:V246)=0,"",SUM(S246:V246))</x:f>
      </x:c>
      <x:c r="Y246" s="47" t="str">
        <x:f>IF(W246="","",W246-IF(X246="",0,X246))</x:f>
      </x:c>
      <x:c r="Z246" s="47" t="str">
        <x:f>IF(OR(K246="",L246="",N246=""),"",ABS(L246-N246)*K246)</x:f>
      </x:c>
      <x:c r="AA246" s="52" t="str">
        <x:f>IFERROR(Y246/Z246,"")</x:f>
      </x:c>
      <x:c r="AB246" s="26"/>
      <x:c r="AC246" s="26"/>
      <x:c r="AD246" s="55"/>
    </x:row>
    <x:row r="247">
      <x:c r="A247" s="26"/>
      <x:c r="B247" s="26"/>
      <x:c r="C247" s="35"/>
      <x:c r="D247" s="39"/>
      <x:c r="E247" s="39"/>
      <x:c r="F247" s="26"/>
      <x:c r="G247" s="26"/>
      <x:c r="H247" s="26"/>
      <x:c r="I247" s="26"/>
      <x:c r="J247" s="26"/>
      <x:c r="K247" s="43"/>
      <x:c r="L247" s="48"/>
      <x:c r="M247" s="48"/>
      <x:c r="N247" s="48"/>
      <x:c r="O247" s="48"/>
      <x:c r="P247" s="48"/>
      <x:c r="Q247" s="48"/>
      <x:c r="R247" s="48"/>
      <x:c r="S247" s="48"/>
      <x:c r="T247" s="48"/>
      <x:c r="U247" s="48"/>
      <x:c r="V247" s="48"/>
      <x:c r="W247" s="47" t="str">
        <x:f>IF(OR(J247="",K247="",L247="",M247=""),"",IF(J247="Long",(M247-L247)*K247,(L247-M247)*K247))</x:f>
      </x:c>
      <x:c r="X247" s="47" t="str">
        <x:f>IF(COUNTA(S247:V247)=0,"",SUM(S247:V247))</x:f>
      </x:c>
      <x:c r="Y247" s="47" t="str">
        <x:f>IF(W247="","",W247-IF(X247="",0,X247))</x:f>
      </x:c>
      <x:c r="Z247" s="47" t="str">
        <x:f>IF(OR(K247="",L247="",N247=""),"",ABS(L247-N247)*K247)</x:f>
      </x:c>
      <x:c r="AA247" s="52" t="str">
        <x:f>IFERROR(Y247/Z247,"")</x:f>
      </x:c>
      <x:c r="AB247" s="26"/>
      <x:c r="AC247" s="26"/>
      <x:c r="AD247" s="55"/>
    </x:row>
    <x:row r="248">
      <x:c r="A248" s="26"/>
      <x:c r="B248" s="26"/>
      <x:c r="C248" s="35"/>
      <x:c r="D248" s="39"/>
      <x:c r="E248" s="39"/>
      <x:c r="F248" s="26"/>
      <x:c r="G248" s="26"/>
      <x:c r="H248" s="26"/>
      <x:c r="I248" s="26"/>
      <x:c r="J248" s="26"/>
      <x:c r="K248" s="43"/>
      <x:c r="L248" s="48"/>
      <x:c r="M248" s="48"/>
      <x:c r="N248" s="48"/>
      <x:c r="O248" s="48"/>
      <x:c r="P248" s="48"/>
      <x:c r="Q248" s="48"/>
      <x:c r="R248" s="48"/>
      <x:c r="S248" s="48"/>
      <x:c r="T248" s="48"/>
      <x:c r="U248" s="48"/>
      <x:c r="V248" s="48"/>
      <x:c r="W248" s="47" t="str">
        <x:f>IF(OR(J248="",K248="",L248="",M248=""),"",IF(J248="Long",(M248-L248)*K248,(L248-M248)*K248))</x:f>
      </x:c>
      <x:c r="X248" s="47" t="str">
        <x:f>IF(COUNTA(S248:V248)=0,"",SUM(S248:V248))</x:f>
      </x:c>
      <x:c r="Y248" s="47" t="str">
        <x:f>IF(W248="","",W248-IF(X248="",0,X248))</x:f>
      </x:c>
      <x:c r="Z248" s="47" t="str">
        <x:f>IF(OR(K248="",L248="",N248=""),"",ABS(L248-N248)*K248)</x:f>
      </x:c>
      <x:c r="AA248" s="52" t="str">
        <x:f>IFERROR(Y248/Z248,"")</x:f>
      </x:c>
      <x:c r="AB248" s="26"/>
      <x:c r="AC248" s="26"/>
      <x:c r="AD248" s="55"/>
    </x:row>
    <x:row r="249">
      <x:c r="A249" s="26"/>
      <x:c r="B249" s="26"/>
      <x:c r="C249" s="35"/>
      <x:c r="D249" s="39"/>
      <x:c r="E249" s="39"/>
      <x:c r="F249" s="26"/>
      <x:c r="G249" s="26"/>
      <x:c r="H249" s="26"/>
      <x:c r="I249" s="26"/>
      <x:c r="J249" s="26"/>
      <x:c r="K249" s="43"/>
      <x:c r="L249" s="48"/>
      <x:c r="M249" s="48"/>
      <x:c r="N249" s="48"/>
      <x:c r="O249" s="48"/>
      <x:c r="P249" s="48"/>
      <x:c r="Q249" s="48"/>
      <x:c r="R249" s="48"/>
      <x:c r="S249" s="48"/>
      <x:c r="T249" s="48"/>
      <x:c r="U249" s="48"/>
      <x:c r="V249" s="48"/>
      <x:c r="W249" s="47" t="str">
        <x:f>IF(OR(J249="",K249="",L249="",M249=""),"",IF(J249="Long",(M249-L249)*K249,(L249-M249)*K249))</x:f>
      </x:c>
      <x:c r="X249" s="47" t="str">
        <x:f>IF(COUNTA(S249:V249)=0,"",SUM(S249:V249))</x:f>
      </x:c>
      <x:c r="Y249" s="47" t="str">
        <x:f>IF(W249="","",W249-IF(X249="",0,X249))</x:f>
      </x:c>
      <x:c r="Z249" s="47" t="str">
        <x:f>IF(OR(K249="",L249="",N249=""),"",ABS(L249-N249)*K249)</x:f>
      </x:c>
      <x:c r="AA249" s="52" t="str">
        <x:f>IFERROR(Y249/Z249,"")</x:f>
      </x:c>
      <x:c r="AB249" s="26"/>
      <x:c r="AC249" s="26"/>
      <x:c r="AD249" s="55"/>
    </x:row>
    <x:row r="250">
      <x:c r="A250" s="26"/>
      <x:c r="B250" s="26"/>
      <x:c r="C250" s="35"/>
      <x:c r="D250" s="39"/>
      <x:c r="E250" s="39"/>
      <x:c r="F250" s="26"/>
      <x:c r="G250" s="26"/>
      <x:c r="H250" s="26"/>
      <x:c r="I250" s="26"/>
      <x:c r="J250" s="26"/>
      <x:c r="K250" s="43"/>
      <x:c r="L250" s="48"/>
      <x:c r="M250" s="48"/>
      <x:c r="N250" s="48"/>
      <x:c r="O250" s="48"/>
      <x:c r="P250" s="48"/>
      <x:c r="Q250" s="48"/>
      <x:c r="R250" s="48"/>
      <x:c r="S250" s="48"/>
      <x:c r="T250" s="48"/>
      <x:c r="U250" s="48"/>
      <x:c r="V250" s="48"/>
      <x:c r="W250" s="47" t="str">
        <x:f>IF(OR(J250="",K250="",L250="",M250=""),"",IF(J250="Long",(M250-L250)*K250,(L250-M250)*K250))</x:f>
      </x:c>
      <x:c r="X250" s="47" t="str">
        <x:f>IF(COUNTA(S250:V250)=0,"",SUM(S250:V250))</x:f>
      </x:c>
      <x:c r="Y250" s="47" t="str">
        <x:f>IF(W250="","",W250-IF(X250="",0,X250))</x:f>
      </x:c>
      <x:c r="Z250" s="47" t="str">
        <x:f>IF(OR(K250="",L250="",N250=""),"",ABS(L250-N250)*K250)</x:f>
      </x:c>
      <x:c r="AA250" s="52" t="str">
        <x:f>IFERROR(Y250/Z250,"")</x:f>
      </x:c>
      <x:c r="AB250" s="26"/>
      <x:c r="AC250" s="26"/>
      <x:c r="AD250" s="55"/>
    </x:row>
    <x:row r="251">
      <x:c r="A251" s="26"/>
      <x:c r="B251" s="26"/>
      <x:c r="C251" s="35"/>
      <x:c r="D251" s="39"/>
      <x:c r="E251" s="39"/>
      <x:c r="F251" s="26"/>
      <x:c r="G251" s="26"/>
      <x:c r="H251" s="26"/>
      <x:c r="I251" s="26"/>
      <x:c r="J251" s="26"/>
      <x:c r="K251" s="43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47" t="str">
        <x:f>IF(OR(J251="",K251="",L251="",M251=""),"",IF(J251="Long",(M251-L251)*K251,(L251-M251)*K251))</x:f>
      </x:c>
      <x:c r="X251" s="47" t="str">
        <x:f>IF(COUNTA(S251:V251)=0,"",SUM(S251:V251))</x:f>
      </x:c>
      <x:c r="Y251" s="47" t="str">
        <x:f>IF(W251="","",W251-IF(X251="",0,X251))</x:f>
      </x:c>
      <x:c r="Z251" s="47" t="str">
        <x:f>IF(OR(K251="",L251="",N251=""),"",ABS(L251-N251)*K251)</x:f>
      </x:c>
      <x:c r="AA251" s="52" t="str">
        <x:f>IFERROR(Y251/Z251,"")</x:f>
      </x:c>
      <x:c r="AB251" s="26"/>
      <x:c r="AC251" s="26"/>
      <x:c r="AD251" s="55"/>
    </x:row>
    <x:row r="252">
      <x:c r="A252" s="26"/>
      <x:c r="B252" s="26"/>
      <x:c r="C252" s="35"/>
      <x:c r="D252" s="39"/>
      <x:c r="E252" s="39"/>
      <x:c r="F252" s="26"/>
      <x:c r="G252" s="26"/>
      <x:c r="H252" s="26"/>
      <x:c r="I252" s="26"/>
      <x:c r="J252" s="26"/>
      <x:c r="K252" s="43"/>
      <x:c r="L252" s="48"/>
      <x:c r="M252" s="48"/>
      <x:c r="N252" s="48"/>
      <x:c r="O252" s="48"/>
      <x:c r="P252" s="48"/>
      <x:c r="Q252" s="48"/>
      <x:c r="R252" s="48"/>
      <x:c r="S252" s="48"/>
      <x:c r="T252" s="48"/>
      <x:c r="U252" s="48"/>
      <x:c r="V252" s="48"/>
      <x:c r="W252" s="47" t="str">
        <x:f>IF(OR(J252="",K252="",L252="",M252=""),"",IF(J252="Long",(M252-L252)*K252,(L252-M252)*K252))</x:f>
      </x:c>
      <x:c r="X252" s="47" t="str">
        <x:f>IF(COUNTA(S252:V252)=0,"",SUM(S252:V252))</x:f>
      </x:c>
      <x:c r="Y252" s="47" t="str">
        <x:f>IF(W252="","",W252-IF(X252="",0,X252))</x:f>
      </x:c>
      <x:c r="Z252" s="47" t="str">
        <x:f>IF(OR(K252="",L252="",N252=""),"",ABS(L252-N252)*K252)</x:f>
      </x:c>
      <x:c r="AA252" s="52" t="str">
        <x:f>IFERROR(Y252/Z252,"")</x:f>
      </x:c>
      <x:c r="AB252" s="26"/>
      <x:c r="AC252" s="26"/>
      <x:c r="AD252" s="55"/>
    </x:row>
    <x:row r="253">
      <x:c r="A253" s="26"/>
      <x:c r="B253" s="26"/>
      <x:c r="C253" s="35"/>
      <x:c r="D253" s="39"/>
      <x:c r="E253" s="39"/>
      <x:c r="F253" s="26"/>
      <x:c r="G253" s="26"/>
      <x:c r="H253" s="26"/>
      <x:c r="I253" s="26"/>
      <x:c r="J253" s="26"/>
      <x:c r="K253" s="43"/>
      <x:c r="L253" s="48"/>
      <x:c r="M253" s="48"/>
      <x:c r="N253" s="48"/>
      <x:c r="O253" s="48"/>
      <x:c r="P253" s="48"/>
      <x:c r="Q253" s="48"/>
      <x:c r="R253" s="48"/>
      <x:c r="S253" s="48"/>
      <x:c r="T253" s="48"/>
      <x:c r="U253" s="48"/>
      <x:c r="V253" s="48"/>
      <x:c r="W253" s="47" t="str">
        <x:f>IF(OR(J253="",K253="",L253="",M253=""),"",IF(J253="Long",(M253-L253)*K253,(L253-M253)*K253))</x:f>
      </x:c>
      <x:c r="X253" s="47" t="str">
        <x:f>IF(COUNTA(S253:V253)=0,"",SUM(S253:V253))</x:f>
      </x:c>
      <x:c r="Y253" s="47" t="str">
        <x:f>IF(W253="","",W253-IF(X253="",0,X253))</x:f>
      </x:c>
      <x:c r="Z253" s="47" t="str">
        <x:f>IF(OR(K253="",L253="",N253=""),"",ABS(L253-N253)*K253)</x:f>
      </x:c>
      <x:c r="AA253" s="52" t="str">
        <x:f>IFERROR(Y253/Z253,"")</x:f>
      </x:c>
      <x:c r="AB253" s="26"/>
      <x:c r="AC253" s="26"/>
      <x:c r="AD253" s="55"/>
    </x:row>
    <x:row r="254">
      <x:c r="A254" s="26"/>
      <x:c r="B254" s="26"/>
      <x:c r="C254" s="35"/>
      <x:c r="D254" s="39"/>
      <x:c r="E254" s="39"/>
      <x:c r="F254" s="26"/>
      <x:c r="G254" s="26"/>
      <x:c r="H254" s="26"/>
      <x:c r="I254" s="26"/>
      <x:c r="J254" s="26"/>
      <x:c r="K254" s="43"/>
      <x:c r="L254" s="48"/>
      <x:c r="M254" s="48"/>
      <x:c r="N254" s="48"/>
      <x:c r="O254" s="48"/>
      <x:c r="P254" s="48"/>
      <x:c r="Q254" s="48"/>
      <x:c r="R254" s="48"/>
      <x:c r="S254" s="48"/>
      <x:c r="T254" s="48"/>
      <x:c r="U254" s="48"/>
      <x:c r="V254" s="48"/>
      <x:c r="W254" s="47" t="str">
        <x:f>IF(OR(J254="",K254="",L254="",M254=""),"",IF(J254="Long",(M254-L254)*K254,(L254-M254)*K254))</x:f>
      </x:c>
      <x:c r="X254" s="47" t="str">
        <x:f>IF(COUNTA(S254:V254)=0,"",SUM(S254:V254))</x:f>
      </x:c>
      <x:c r="Y254" s="47" t="str">
        <x:f>IF(W254="","",W254-IF(X254="",0,X254))</x:f>
      </x:c>
      <x:c r="Z254" s="47" t="str">
        <x:f>IF(OR(K254="",L254="",N254=""),"",ABS(L254-N254)*K254)</x:f>
      </x:c>
      <x:c r="AA254" s="52" t="str">
        <x:f>IFERROR(Y254/Z254,"")</x:f>
      </x:c>
      <x:c r="AB254" s="26"/>
      <x:c r="AC254" s="26"/>
      <x:c r="AD254" s="55"/>
    </x:row>
    <x:row r="255">
      <x:c r="A255" s="26"/>
      <x:c r="B255" s="26"/>
      <x:c r="C255" s="35"/>
      <x:c r="D255" s="39"/>
      <x:c r="E255" s="39"/>
      <x:c r="F255" s="26"/>
      <x:c r="G255" s="26"/>
      <x:c r="H255" s="26"/>
      <x:c r="I255" s="26"/>
      <x:c r="J255" s="26"/>
      <x:c r="K255" s="43"/>
      <x:c r="L255" s="48"/>
      <x:c r="M255" s="48"/>
      <x:c r="N255" s="48"/>
      <x:c r="O255" s="48"/>
      <x:c r="P255" s="48"/>
      <x:c r="Q255" s="48"/>
      <x:c r="R255" s="48"/>
      <x:c r="S255" s="48"/>
      <x:c r="T255" s="48"/>
      <x:c r="U255" s="48"/>
      <x:c r="V255" s="48"/>
      <x:c r="W255" s="47" t="str">
        <x:f>IF(OR(J255="",K255="",L255="",M255=""),"",IF(J255="Long",(M255-L255)*K255,(L255-M255)*K255))</x:f>
      </x:c>
      <x:c r="X255" s="47" t="str">
        <x:f>IF(COUNTA(S255:V255)=0,"",SUM(S255:V255))</x:f>
      </x:c>
      <x:c r="Y255" s="47" t="str">
        <x:f>IF(W255="","",W255-IF(X255="",0,X255))</x:f>
      </x:c>
      <x:c r="Z255" s="47" t="str">
        <x:f>IF(OR(K255="",L255="",N255=""),"",ABS(L255-N255)*K255)</x:f>
      </x:c>
      <x:c r="AA255" s="52" t="str">
        <x:f>IFERROR(Y255/Z255,"")</x:f>
      </x:c>
      <x:c r="AB255" s="26"/>
      <x:c r="AC255" s="26"/>
      <x:c r="AD255" s="55"/>
    </x:row>
    <x:row r="256">
      <x:c r="A256" s="26"/>
      <x:c r="B256" s="26"/>
      <x:c r="C256" s="35"/>
      <x:c r="D256" s="39"/>
      <x:c r="E256" s="39"/>
      <x:c r="F256" s="26"/>
      <x:c r="G256" s="26"/>
      <x:c r="H256" s="26"/>
      <x:c r="I256" s="26"/>
      <x:c r="J256" s="26"/>
      <x:c r="K256" s="43"/>
      <x:c r="L256" s="48"/>
      <x:c r="M256" s="48"/>
      <x:c r="N256" s="48"/>
      <x:c r="O256" s="48"/>
      <x:c r="P256" s="48"/>
      <x:c r="Q256" s="48"/>
      <x:c r="R256" s="48"/>
      <x:c r="S256" s="48"/>
      <x:c r="T256" s="48"/>
      <x:c r="U256" s="48"/>
      <x:c r="V256" s="48"/>
      <x:c r="W256" s="47" t="str">
        <x:f>IF(OR(J256="",K256="",L256="",M256=""),"",IF(J256="Long",(M256-L256)*K256,(L256-M256)*K256))</x:f>
      </x:c>
      <x:c r="X256" s="47" t="str">
        <x:f>IF(COUNTA(S256:V256)=0,"",SUM(S256:V256))</x:f>
      </x:c>
      <x:c r="Y256" s="47" t="str">
        <x:f>IF(W256="","",W256-IF(X256="",0,X256))</x:f>
      </x:c>
      <x:c r="Z256" s="47" t="str">
        <x:f>IF(OR(K256="",L256="",N256=""),"",ABS(L256-N256)*K256)</x:f>
      </x:c>
      <x:c r="AA256" s="52" t="str">
        <x:f>IFERROR(Y256/Z256,"")</x:f>
      </x:c>
      <x:c r="AB256" s="26"/>
      <x:c r="AC256" s="26"/>
      <x:c r="AD256" s="55"/>
    </x:row>
    <x:row r="257">
      <x:c r="A257" s="26"/>
      <x:c r="B257" s="26"/>
      <x:c r="C257" s="35"/>
      <x:c r="D257" s="39"/>
      <x:c r="E257" s="39"/>
      <x:c r="F257" s="26"/>
      <x:c r="G257" s="26"/>
      <x:c r="H257" s="26"/>
      <x:c r="I257" s="26"/>
      <x:c r="J257" s="26"/>
      <x:c r="K257" s="43"/>
      <x:c r="L257" s="48"/>
      <x:c r="M257" s="48"/>
      <x:c r="N257" s="48"/>
      <x:c r="O257" s="48"/>
      <x:c r="P257" s="48"/>
      <x:c r="Q257" s="48"/>
      <x:c r="R257" s="48"/>
      <x:c r="S257" s="48"/>
      <x:c r="T257" s="48"/>
      <x:c r="U257" s="48"/>
      <x:c r="V257" s="48"/>
      <x:c r="W257" s="47" t="str">
        <x:f>IF(OR(J257="",K257="",L257="",M257=""),"",IF(J257="Long",(M257-L257)*K257,(L257-M257)*K257))</x:f>
      </x:c>
      <x:c r="X257" s="47" t="str">
        <x:f>IF(COUNTA(S257:V257)=0,"",SUM(S257:V257))</x:f>
      </x:c>
      <x:c r="Y257" s="47" t="str">
        <x:f>IF(W257="","",W257-IF(X257="",0,X257))</x:f>
      </x:c>
      <x:c r="Z257" s="47" t="str">
        <x:f>IF(OR(K257="",L257="",N257=""),"",ABS(L257-N257)*K257)</x:f>
      </x:c>
      <x:c r="AA257" s="52" t="str">
        <x:f>IFERROR(Y257/Z257,"")</x:f>
      </x:c>
      <x:c r="AB257" s="26"/>
      <x:c r="AC257" s="26"/>
      <x:c r="AD257" s="55"/>
    </x:row>
    <x:row r="258">
      <x:c r="A258" s="26"/>
      <x:c r="B258" s="26"/>
      <x:c r="C258" s="35"/>
      <x:c r="D258" s="39"/>
      <x:c r="E258" s="39"/>
      <x:c r="F258" s="26"/>
      <x:c r="G258" s="26"/>
      <x:c r="H258" s="26"/>
      <x:c r="I258" s="26"/>
      <x:c r="J258" s="26"/>
      <x:c r="K258" s="43"/>
      <x:c r="L258" s="48"/>
      <x:c r="M258" s="48"/>
      <x:c r="N258" s="48"/>
      <x:c r="O258" s="48"/>
      <x:c r="P258" s="48"/>
      <x:c r="Q258" s="48"/>
      <x:c r="R258" s="48"/>
      <x:c r="S258" s="48"/>
      <x:c r="T258" s="48"/>
      <x:c r="U258" s="48"/>
      <x:c r="V258" s="48"/>
      <x:c r="W258" s="47" t="str">
        <x:f>IF(OR(J258="",K258="",L258="",M258=""),"",IF(J258="Long",(M258-L258)*K258,(L258-M258)*K258))</x:f>
      </x:c>
      <x:c r="X258" s="47" t="str">
        <x:f>IF(COUNTA(S258:V258)=0,"",SUM(S258:V258))</x:f>
      </x:c>
      <x:c r="Y258" s="47" t="str">
        <x:f>IF(W258="","",W258-IF(X258="",0,X258))</x:f>
      </x:c>
      <x:c r="Z258" s="47" t="str">
        <x:f>IF(OR(K258="",L258="",N258=""),"",ABS(L258-N258)*K258)</x:f>
      </x:c>
      <x:c r="AA258" s="52" t="str">
        <x:f>IFERROR(Y258/Z258,"")</x:f>
      </x:c>
      <x:c r="AB258" s="26"/>
      <x:c r="AC258" s="26"/>
      <x:c r="AD258" s="55"/>
    </x:row>
    <x:row r="259">
      <x:c r="A259" s="26"/>
      <x:c r="B259" s="26"/>
      <x:c r="C259" s="35"/>
      <x:c r="D259" s="39"/>
      <x:c r="E259" s="39"/>
      <x:c r="F259" s="26"/>
      <x:c r="G259" s="26"/>
      <x:c r="H259" s="26"/>
      <x:c r="I259" s="26"/>
      <x:c r="J259" s="26"/>
      <x:c r="K259" s="43"/>
      <x:c r="L259" s="48"/>
      <x:c r="M259" s="48"/>
      <x:c r="N259" s="48"/>
      <x:c r="O259" s="48"/>
      <x:c r="P259" s="48"/>
      <x:c r="Q259" s="48"/>
      <x:c r="R259" s="48"/>
      <x:c r="S259" s="48"/>
      <x:c r="T259" s="48"/>
      <x:c r="U259" s="48"/>
      <x:c r="V259" s="48"/>
      <x:c r="W259" s="47" t="str">
        <x:f>IF(OR(J259="",K259="",L259="",M259=""),"",IF(J259="Long",(M259-L259)*K259,(L259-M259)*K259))</x:f>
      </x:c>
      <x:c r="X259" s="47" t="str">
        <x:f>IF(COUNTA(S259:V259)=0,"",SUM(S259:V259))</x:f>
      </x:c>
      <x:c r="Y259" s="47" t="str">
        <x:f>IF(W259="","",W259-IF(X259="",0,X259))</x:f>
      </x:c>
      <x:c r="Z259" s="47" t="str">
        <x:f>IF(OR(K259="",L259="",N259=""),"",ABS(L259-N259)*K259)</x:f>
      </x:c>
      <x:c r="AA259" s="52" t="str">
        <x:f>IFERROR(Y259/Z259,"")</x:f>
      </x:c>
      <x:c r="AB259" s="26"/>
      <x:c r="AC259" s="26"/>
      <x:c r="AD259" s="55"/>
    </x:row>
    <x:row r="260">
      <x:c r="A260" s="26"/>
      <x:c r="B260" s="26"/>
      <x:c r="C260" s="35"/>
      <x:c r="D260" s="39"/>
      <x:c r="E260" s="39"/>
      <x:c r="F260" s="26"/>
      <x:c r="G260" s="26"/>
      <x:c r="H260" s="26"/>
      <x:c r="I260" s="26"/>
      <x:c r="J260" s="26"/>
      <x:c r="K260" s="43"/>
      <x:c r="L260" s="48"/>
      <x:c r="M260" s="48"/>
      <x:c r="N260" s="48"/>
      <x:c r="O260" s="48"/>
      <x:c r="P260" s="48"/>
      <x:c r="Q260" s="48"/>
      <x:c r="R260" s="48"/>
      <x:c r="S260" s="48"/>
      <x:c r="T260" s="48"/>
      <x:c r="U260" s="48"/>
      <x:c r="V260" s="48"/>
      <x:c r="W260" s="47" t="str">
        <x:f>IF(OR(J260="",K260="",L260="",M260=""),"",IF(J260="Long",(M260-L260)*K260,(L260-M260)*K260))</x:f>
      </x:c>
      <x:c r="X260" s="47" t="str">
        <x:f>IF(COUNTA(S260:V260)=0,"",SUM(S260:V260))</x:f>
      </x:c>
      <x:c r="Y260" s="47" t="str">
        <x:f>IF(W260="","",W260-IF(X260="",0,X260))</x:f>
      </x:c>
      <x:c r="Z260" s="47" t="str">
        <x:f>IF(OR(K260="",L260="",N260=""),"",ABS(L260-N260)*K260)</x:f>
      </x:c>
      <x:c r="AA260" s="52" t="str">
        <x:f>IFERROR(Y260/Z260,"")</x:f>
      </x:c>
      <x:c r="AB260" s="26"/>
      <x:c r="AC260" s="26"/>
      <x:c r="AD260" s="55"/>
    </x:row>
    <x:row r="261">
      <x:c r="A261" s="26"/>
      <x:c r="B261" s="26"/>
      <x:c r="C261" s="35"/>
      <x:c r="D261" s="39"/>
      <x:c r="E261" s="39"/>
      <x:c r="F261" s="26"/>
      <x:c r="G261" s="26"/>
      <x:c r="H261" s="26"/>
      <x:c r="I261" s="26"/>
      <x:c r="J261" s="26"/>
      <x:c r="K261" s="43"/>
      <x:c r="L261" s="48"/>
      <x:c r="M261" s="48"/>
      <x:c r="N261" s="48"/>
      <x:c r="O261" s="48"/>
      <x:c r="P261" s="48"/>
      <x:c r="Q261" s="48"/>
      <x:c r="R261" s="48"/>
      <x:c r="S261" s="48"/>
      <x:c r="T261" s="48"/>
      <x:c r="U261" s="48"/>
      <x:c r="V261" s="48"/>
      <x:c r="W261" s="47" t="str">
        <x:f>IF(OR(J261="",K261="",L261="",M261=""),"",IF(J261="Long",(M261-L261)*K261,(L261-M261)*K261))</x:f>
      </x:c>
      <x:c r="X261" s="47" t="str">
        <x:f>IF(COUNTA(S261:V261)=0,"",SUM(S261:V261))</x:f>
      </x:c>
      <x:c r="Y261" s="47" t="str">
        <x:f>IF(W261="","",W261-IF(X261="",0,X261))</x:f>
      </x:c>
      <x:c r="Z261" s="47" t="str">
        <x:f>IF(OR(K261="",L261="",N261=""),"",ABS(L261-N261)*K261)</x:f>
      </x:c>
      <x:c r="AA261" s="52" t="str">
        <x:f>IFERROR(Y261/Z261,"")</x:f>
      </x:c>
      <x:c r="AB261" s="26"/>
      <x:c r="AC261" s="26"/>
      <x:c r="AD261" s="55"/>
    </x:row>
    <x:row r="262">
      <x:c r="A262" s="26"/>
      <x:c r="B262" s="26"/>
      <x:c r="C262" s="35"/>
      <x:c r="D262" s="39"/>
      <x:c r="E262" s="39"/>
      <x:c r="F262" s="26"/>
      <x:c r="G262" s="26"/>
      <x:c r="H262" s="26"/>
      <x:c r="I262" s="26"/>
      <x:c r="J262" s="26"/>
      <x:c r="K262" s="43"/>
      <x:c r="L262" s="48"/>
      <x:c r="M262" s="48"/>
      <x:c r="N262" s="48"/>
      <x:c r="O262" s="48"/>
      <x:c r="P262" s="48"/>
      <x:c r="Q262" s="48"/>
      <x:c r="R262" s="48"/>
      <x:c r="S262" s="48"/>
      <x:c r="T262" s="48"/>
      <x:c r="U262" s="48"/>
      <x:c r="V262" s="48"/>
      <x:c r="W262" s="47" t="str">
        <x:f>IF(OR(J262="",K262="",L262="",M262=""),"",IF(J262="Long",(M262-L262)*K262,(L262-M262)*K262))</x:f>
      </x:c>
      <x:c r="X262" s="47" t="str">
        <x:f>IF(COUNTA(S262:V262)=0,"",SUM(S262:V262))</x:f>
      </x:c>
      <x:c r="Y262" s="47" t="str">
        <x:f>IF(W262="","",W262-IF(X262="",0,X262))</x:f>
      </x:c>
      <x:c r="Z262" s="47" t="str">
        <x:f>IF(OR(K262="",L262="",N262=""),"",ABS(L262-N262)*K262)</x:f>
      </x:c>
      <x:c r="AA262" s="52" t="str">
        <x:f>IFERROR(Y262/Z262,"")</x:f>
      </x:c>
      <x:c r="AB262" s="26"/>
      <x:c r="AC262" s="26"/>
      <x:c r="AD262" s="55"/>
    </x:row>
    <x:row r="263">
      <x:c r="A263" s="26"/>
      <x:c r="B263" s="26"/>
      <x:c r="C263" s="35"/>
      <x:c r="D263" s="39"/>
      <x:c r="E263" s="39"/>
      <x:c r="F263" s="26"/>
      <x:c r="G263" s="26"/>
      <x:c r="H263" s="26"/>
      <x:c r="I263" s="26"/>
      <x:c r="J263" s="26"/>
      <x:c r="K263" s="43"/>
      <x:c r="L263" s="48"/>
      <x:c r="M263" s="48"/>
      <x:c r="N263" s="48"/>
      <x:c r="O263" s="48"/>
      <x:c r="P263" s="48"/>
      <x:c r="Q263" s="48"/>
      <x:c r="R263" s="48"/>
      <x:c r="S263" s="48"/>
      <x:c r="T263" s="48"/>
      <x:c r="U263" s="48"/>
      <x:c r="V263" s="48"/>
      <x:c r="W263" s="47" t="str">
        <x:f>IF(OR(J263="",K263="",L263="",M263=""),"",IF(J263="Long",(M263-L263)*K263,(L263-M263)*K263))</x:f>
      </x:c>
      <x:c r="X263" s="47" t="str">
        <x:f>IF(COUNTA(S263:V263)=0,"",SUM(S263:V263))</x:f>
      </x:c>
      <x:c r="Y263" s="47" t="str">
        <x:f>IF(W263="","",W263-IF(X263="",0,X263))</x:f>
      </x:c>
      <x:c r="Z263" s="47" t="str">
        <x:f>IF(OR(K263="",L263="",N263=""),"",ABS(L263-N263)*K263)</x:f>
      </x:c>
      <x:c r="AA263" s="52" t="str">
        <x:f>IFERROR(Y263/Z263,"")</x:f>
      </x:c>
      <x:c r="AB263" s="26"/>
      <x:c r="AC263" s="26"/>
      <x:c r="AD263" s="55"/>
    </x:row>
    <x:row r="264">
      <x:c r="A264" s="26"/>
      <x:c r="B264" s="26"/>
      <x:c r="C264" s="35"/>
      <x:c r="D264" s="39"/>
      <x:c r="E264" s="39"/>
      <x:c r="F264" s="26"/>
      <x:c r="G264" s="26"/>
      <x:c r="H264" s="26"/>
      <x:c r="I264" s="26"/>
      <x:c r="J264" s="26"/>
      <x:c r="K264" s="43"/>
      <x:c r="L264" s="48"/>
      <x:c r="M264" s="48"/>
      <x:c r="N264" s="48"/>
      <x:c r="O264" s="48"/>
      <x:c r="P264" s="48"/>
      <x:c r="Q264" s="48"/>
      <x:c r="R264" s="48"/>
      <x:c r="S264" s="48"/>
      <x:c r="T264" s="48"/>
      <x:c r="U264" s="48"/>
      <x:c r="V264" s="48"/>
      <x:c r="W264" s="47" t="str">
        <x:f>IF(OR(J264="",K264="",L264="",M264=""),"",IF(J264="Long",(M264-L264)*K264,(L264-M264)*K264))</x:f>
      </x:c>
      <x:c r="X264" s="47" t="str">
        <x:f>IF(COUNTA(S264:V264)=0,"",SUM(S264:V264))</x:f>
      </x:c>
      <x:c r="Y264" s="47" t="str">
        <x:f>IF(W264="","",W264-IF(X264="",0,X264))</x:f>
      </x:c>
      <x:c r="Z264" s="47" t="str">
        <x:f>IF(OR(K264="",L264="",N264=""),"",ABS(L264-N264)*K264)</x:f>
      </x:c>
      <x:c r="AA264" s="52" t="str">
        <x:f>IFERROR(Y264/Z264,"")</x:f>
      </x:c>
      <x:c r="AB264" s="26"/>
      <x:c r="AC264" s="26"/>
      <x:c r="AD264" s="55"/>
    </x:row>
    <x:row r="265">
      <x:c r="A265" s="26"/>
      <x:c r="B265" s="26"/>
      <x:c r="C265" s="35"/>
      <x:c r="D265" s="39"/>
      <x:c r="E265" s="39"/>
      <x:c r="F265" s="26"/>
      <x:c r="G265" s="26"/>
      <x:c r="H265" s="26"/>
      <x:c r="I265" s="26"/>
      <x:c r="J265" s="26"/>
      <x:c r="K265" s="43"/>
      <x:c r="L265" s="48"/>
      <x:c r="M265" s="48"/>
      <x:c r="N265" s="48"/>
      <x:c r="O265" s="48"/>
      <x:c r="P265" s="48"/>
      <x:c r="Q265" s="48"/>
      <x:c r="R265" s="48"/>
      <x:c r="S265" s="48"/>
      <x:c r="T265" s="48"/>
      <x:c r="U265" s="48"/>
      <x:c r="V265" s="48"/>
      <x:c r="W265" s="47" t="str">
        <x:f>IF(OR(J265="",K265="",L265="",M265=""),"",IF(J265="Long",(M265-L265)*K265,(L265-M265)*K265))</x:f>
      </x:c>
      <x:c r="X265" s="47" t="str">
        <x:f>IF(COUNTA(S265:V265)=0,"",SUM(S265:V265))</x:f>
      </x:c>
      <x:c r="Y265" s="47" t="str">
        <x:f>IF(W265="","",W265-IF(X265="",0,X265))</x:f>
      </x:c>
      <x:c r="Z265" s="47" t="str">
        <x:f>IF(OR(K265="",L265="",N265=""),"",ABS(L265-N265)*K265)</x:f>
      </x:c>
      <x:c r="AA265" s="52" t="str">
        <x:f>IFERROR(Y265/Z265,"")</x:f>
      </x:c>
      <x:c r="AB265" s="26"/>
      <x:c r="AC265" s="26"/>
      <x:c r="AD265" s="55"/>
    </x:row>
    <x:row r="266">
      <x:c r="A266" s="26"/>
      <x:c r="B266" s="26"/>
      <x:c r="C266" s="35"/>
      <x:c r="D266" s="39"/>
      <x:c r="E266" s="39"/>
      <x:c r="F266" s="26"/>
      <x:c r="G266" s="26"/>
      <x:c r="H266" s="26"/>
      <x:c r="I266" s="26"/>
      <x:c r="J266" s="26"/>
      <x:c r="K266" s="43"/>
      <x:c r="L266" s="48"/>
      <x:c r="M266" s="48"/>
      <x:c r="N266" s="48"/>
      <x:c r="O266" s="48"/>
      <x:c r="P266" s="48"/>
      <x:c r="Q266" s="48"/>
      <x:c r="R266" s="48"/>
      <x:c r="S266" s="48"/>
      <x:c r="T266" s="48"/>
      <x:c r="U266" s="48"/>
      <x:c r="V266" s="48"/>
      <x:c r="W266" s="47" t="str">
        <x:f>IF(OR(J266="",K266="",L266="",M266=""),"",IF(J266="Long",(M266-L266)*K266,(L266-M266)*K266))</x:f>
      </x:c>
      <x:c r="X266" s="47" t="str">
        <x:f>IF(COUNTA(S266:V266)=0,"",SUM(S266:V266))</x:f>
      </x:c>
      <x:c r="Y266" s="47" t="str">
        <x:f>IF(W266="","",W266-IF(X266="",0,X266))</x:f>
      </x:c>
      <x:c r="Z266" s="47" t="str">
        <x:f>IF(OR(K266="",L266="",N266=""),"",ABS(L266-N266)*K266)</x:f>
      </x:c>
      <x:c r="AA266" s="52" t="str">
        <x:f>IFERROR(Y266/Z266,"")</x:f>
      </x:c>
      <x:c r="AB266" s="26"/>
      <x:c r="AC266" s="26"/>
      <x:c r="AD266" s="55"/>
    </x:row>
    <x:row r="267">
      <x:c r="A267" s="26"/>
      <x:c r="B267" s="26"/>
      <x:c r="C267" s="35"/>
      <x:c r="D267" s="39"/>
      <x:c r="E267" s="39"/>
      <x:c r="F267" s="26"/>
      <x:c r="G267" s="26"/>
      <x:c r="H267" s="26"/>
      <x:c r="I267" s="26"/>
      <x:c r="J267" s="26"/>
      <x:c r="K267" s="43"/>
      <x:c r="L267" s="48"/>
      <x:c r="M267" s="48"/>
      <x:c r="N267" s="48"/>
      <x:c r="O267" s="48"/>
      <x:c r="P267" s="48"/>
      <x:c r="Q267" s="48"/>
      <x:c r="R267" s="48"/>
      <x:c r="S267" s="48"/>
      <x:c r="T267" s="48"/>
      <x:c r="U267" s="48"/>
      <x:c r="V267" s="48"/>
      <x:c r="W267" s="47" t="str">
        <x:f>IF(OR(J267="",K267="",L267="",M267=""),"",IF(J267="Long",(M267-L267)*K267,(L267-M267)*K267))</x:f>
      </x:c>
      <x:c r="X267" s="47" t="str">
        <x:f>IF(COUNTA(S267:V267)=0,"",SUM(S267:V267))</x:f>
      </x:c>
      <x:c r="Y267" s="47" t="str">
        <x:f>IF(W267="","",W267-IF(X267="",0,X267))</x:f>
      </x:c>
      <x:c r="Z267" s="47" t="str">
        <x:f>IF(OR(K267="",L267="",N267=""),"",ABS(L267-N267)*K267)</x:f>
      </x:c>
      <x:c r="AA267" s="52" t="str">
        <x:f>IFERROR(Y267/Z267,"")</x:f>
      </x:c>
      <x:c r="AB267" s="26"/>
      <x:c r="AC267" s="26"/>
      <x:c r="AD267" s="55"/>
    </x:row>
    <x:row r="268">
      <x:c r="A268" s="26"/>
      <x:c r="B268" s="26"/>
      <x:c r="C268" s="35"/>
      <x:c r="D268" s="39"/>
      <x:c r="E268" s="39"/>
      <x:c r="F268" s="26"/>
      <x:c r="G268" s="26"/>
      <x:c r="H268" s="26"/>
      <x:c r="I268" s="26"/>
      <x:c r="J268" s="26"/>
      <x:c r="K268" s="43"/>
      <x:c r="L268" s="48"/>
      <x:c r="M268" s="48"/>
      <x:c r="N268" s="48"/>
      <x:c r="O268" s="48"/>
      <x:c r="P268" s="48"/>
      <x:c r="Q268" s="48"/>
      <x:c r="R268" s="48"/>
      <x:c r="S268" s="48"/>
      <x:c r="T268" s="48"/>
      <x:c r="U268" s="48"/>
      <x:c r="V268" s="48"/>
      <x:c r="W268" s="47" t="str">
        <x:f>IF(OR(J268="",K268="",L268="",M268=""),"",IF(J268="Long",(M268-L268)*K268,(L268-M268)*K268))</x:f>
      </x:c>
      <x:c r="X268" s="47" t="str">
        <x:f>IF(COUNTA(S268:V268)=0,"",SUM(S268:V268))</x:f>
      </x:c>
      <x:c r="Y268" s="47" t="str">
        <x:f>IF(W268="","",W268-IF(X268="",0,X268))</x:f>
      </x:c>
      <x:c r="Z268" s="47" t="str">
        <x:f>IF(OR(K268="",L268="",N268=""),"",ABS(L268-N268)*K268)</x:f>
      </x:c>
      <x:c r="AA268" s="52" t="str">
        <x:f>IFERROR(Y268/Z268,"")</x:f>
      </x:c>
      <x:c r="AB268" s="26"/>
      <x:c r="AC268" s="26"/>
      <x:c r="AD268" s="55"/>
    </x:row>
    <x:row r="269">
      <x:c r="A269" s="26"/>
      <x:c r="B269" s="26"/>
      <x:c r="C269" s="35"/>
      <x:c r="D269" s="39"/>
      <x:c r="E269" s="39"/>
      <x:c r="F269" s="26"/>
      <x:c r="G269" s="26"/>
      <x:c r="H269" s="26"/>
      <x:c r="I269" s="26"/>
      <x:c r="J269" s="26"/>
      <x:c r="K269" s="43"/>
      <x:c r="L269" s="48"/>
      <x:c r="M269" s="48"/>
      <x:c r="N269" s="48"/>
      <x:c r="O269" s="48"/>
      <x:c r="P269" s="48"/>
      <x:c r="Q269" s="48"/>
      <x:c r="R269" s="48"/>
      <x:c r="S269" s="48"/>
      <x:c r="T269" s="48"/>
      <x:c r="U269" s="48"/>
      <x:c r="V269" s="48"/>
      <x:c r="W269" s="47" t="str">
        <x:f>IF(OR(J269="",K269="",L269="",M269=""),"",IF(J269="Long",(M269-L269)*K269,(L269-M269)*K269))</x:f>
      </x:c>
      <x:c r="X269" s="47" t="str">
        <x:f>IF(COUNTA(S269:V269)=0,"",SUM(S269:V269))</x:f>
      </x:c>
      <x:c r="Y269" s="47" t="str">
        <x:f>IF(W269="","",W269-IF(X269="",0,X269))</x:f>
      </x:c>
      <x:c r="Z269" s="47" t="str">
        <x:f>IF(OR(K269="",L269="",N269=""),"",ABS(L269-N269)*K269)</x:f>
      </x:c>
      <x:c r="AA269" s="52" t="str">
        <x:f>IFERROR(Y269/Z269,"")</x:f>
      </x:c>
      <x:c r="AB269" s="26"/>
      <x:c r="AC269" s="26"/>
      <x:c r="AD269" s="55"/>
    </x:row>
    <x:row r="270">
      <x:c r="A270" s="26"/>
      <x:c r="B270" s="26"/>
      <x:c r="C270" s="35"/>
      <x:c r="D270" s="39"/>
      <x:c r="E270" s="39"/>
      <x:c r="F270" s="26"/>
      <x:c r="G270" s="26"/>
      <x:c r="H270" s="26"/>
      <x:c r="I270" s="26"/>
      <x:c r="J270" s="26"/>
      <x:c r="K270" s="43"/>
      <x:c r="L270" s="48"/>
      <x:c r="M270" s="48"/>
      <x:c r="N270" s="48"/>
      <x:c r="O270" s="48"/>
      <x:c r="P270" s="48"/>
      <x:c r="Q270" s="48"/>
      <x:c r="R270" s="48"/>
      <x:c r="S270" s="48"/>
      <x:c r="T270" s="48"/>
      <x:c r="U270" s="48"/>
      <x:c r="V270" s="48"/>
      <x:c r="W270" s="47" t="str">
        <x:f>IF(OR(J270="",K270="",L270="",M270=""),"",IF(J270="Long",(M270-L270)*K270,(L270-M270)*K270))</x:f>
      </x:c>
      <x:c r="X270" s="47" t="str">
        <x:f>IF(COUNTA(S270:V270)=0,"",SUM(S270:V270))</x:f>
      </x:c>
      <x:c r="Y270" s="47" t="str">
        <x:f>IF(W270="","",W270-IF(X270="",0,X270))</x:f>
      </x:c>
      <x:c r="Z270" s="47" t="str">
        <x:f>IF(OR(K270="",L270="",N270=""),"",ABS(L270-N270)*K270)</x:f>
      </x:c>
      <x:c r="AA270" s="52" t="str">
        <x:f>IFERROR(Y270/Z270,"")</x:f>
      </x:c>
      <x:c r="AB270" s="26"/>
      <x:c r="AC270" s="26"/>
      <x:c r="AD270" s="55"/>
    </x:row>
    <x:row r="271">
      <x:c r="A271" s="26"/>
      <x:c r="B271" s="26"/>
      <x:c r="C271" s="35"/>
      <x:c r="D271" s="39"/>
      <x:c r="E271" s="39"/>
      <x:c r="F271" s="26"/>
      <x:c r="G271" s="26"/>
      <x:c r="H271" s="26"/>
      <x:c r="I271" s="26"/>
      <x:c r="J271" s="26"/>
      <x:c r="K271" s="43"/>
      <x:c r="L271" s="48"/>
      <x:c r="M271" s="48"/>
      <x:c r="N271" s="48"/>
      <x:c r="O271" s="48"/>
      <x:c r="P271" s="48"/>
      <x:c r="Q271" s="48"/>
      <x:c r="R271" s="48"/>
      <x:c r="S271" s="48"/>
      <x:c r="T271" s="48"/>
      <x:c r="U271" s="48"/>
      <x:c r="V271" s="48"/>
      <x:c r="W271" s="47" t="str">
        <x:f>IF(OR(J271="",K271="",L271="",M271=""),"",IF(J271="Long",(M271-L271)*K271,(L271-M271)*K271))</x:f>
      </x:c>
      <x:c r="X271" s="47" t="str">
        <x:f>IF(COUNTA(S271:V271)=0,"",SUM(S271:V271))</x:f>
      </x:c>
      <x:c r="Y271" s="47" t="str">
        <x:f>IF(W271="","",W271-IF(X271="",0,X271))</x:f>
      </x:c>
      <x:c r="Z271" s="47" t="str">
        <x:f>IF(OR(K271="",L271="",N271=""),"",ABS(L271-N271)*K271)</x:f>
      </x:c>
      <x:c r="AA271" s="52" t="str">
        <x:f>IFERROR(Y271/Z271,"")</x:f>
      </x:c>
      <x:c r="AB271" s="26"/>
      <x:c r="AC271" s="26"/>
      <x:c r="AD271" s="55"/>
    </x:row>
    <x:row r="272">
      <x:c r="A272" s="26"/>
      <x:c r="B272" s="26"/>
      <x:c r="C272" s="35"/>
      <x:c r="D272" s="39"/>
      <x:c r="E272" s="39"/>
      <x:c r="F272" s="26"/>
      <x:c r="G272" s="26"/>
      <x:c r="H272" s="26"/>
      <x:c r="I272" s="26"/>
      <x:c r="J272" s="26"/>
      <x:c r="K272" s="43"/>
      <x:c r="L272" s="48"/>
      <x:c r="M272" s="48"/>
      <x:c r="N272" s="48"/>
      <x:c r="O272" s="48"/>
      <x:c r="P272" s="48"/>
      <x:c r="Q272" s="48"/>
      <x:c r="R272" s="48"/>
      <x:c r="S272" s="48"/>
      <x:c r="T272" s="48"/>
      <x:c r="U272" s="48"/>
      <x:c r="V272" s="48"/>
      <x:c r="W272" s="47" t="str">
        <x:f>IF(OR(J272="",K272="",L272="",M272=""),"",IF(J272="Long",(M272-L272)*K272,(L272-M272)*K272))</x:f>
      </x:c>
      <x:c r="X272" s="47" t="str">
        <x:f>IF(COUNTA(S272:V272)=0,"",SUM(S272:V272))</x:f>
      </x:c>
      <x:c r="Y272" s="47" t="str">
        <x:f>IF(W272="","",W272-IF(X272="",0,X272))</x:f>
      </x:c>
      <x:c r="Z272" s="47" t="str">
        <x:f>IF(OR(K272="",L272="",N272=""),"",ABS(L272-N272)*K272)</x:f>
      </x:c>
      <x:c r="AA272" s="52" t="str">
        <x:f>IFERROR(Y272/Z272,"")</x:f>
      </x:c>
      <x:c r="AB272" s="26"/>
      <x:c r="AC272" s="26"/>
      <x:c r="AD272" s="55"/>
    </x:row>
    <x:row r="273">
      <x:c r="A273" s="26"/>
      <x:c r="B273" s="26"/>
      <x:c r="C273" s="35"/>
      <x:c r="D273" s="39"/>
      <x:c r="E273" s="39"/>
      <x:c r="F273" s="26"/>
      <x:c r="G273" s="26"/>
      <x:c r="H273" s="26"/>
      <x:c r="I273" s="26"/>
      <x:c r="J273" s="26"/>
      <x:c r="K273" s="43"/>
      <x:c r="L273" s="48"/>
      <x:c r="M273" s="48"/>
      <x:c r="N273" s="48"/>
      <x:c r="O273" s="48"/>
      <x:c r="P273" s="48"/>
      <x:c r="Q273" s="48"/>
      <x:c r="R273" s="48"/>
      <x:c r="S273" s="48"/>
      <x:c r="T273" s="48"/>
      <x:c r="U273" s="48"/>
      <x:c r="V273" s="48"/>
      <x:c r="W273" s="47" t="str">
        <x:f>IF(OR(J273="",K273="",L273="",M273=""),"",IF(J273="Long",(M273-L273)*K273,(L273-M273)*K273))</x:f>
      </x:c>
      <x:c r="X273" s="47" t="str">
        <x:f>IF(COUNTA(S273:V273)=0,"",SUM(S273:V273))</x:f>
      </x:c>
      <x:c r="Y273" s="47" t="str">
        <x:f>IF(W273="","",W273-IF(X273="",0,X273))</x:f>
      </x:c>
      <x:c r="Z273" s="47" t="str">
        <x:f>IF(OR(K273="",L273="",N273=""),"",ABS(L273-N273)*K273)</x:f>
      </x:c>
      <x:c r="AA273" s="52" t="str">
        <x:f>IFERROR(Y273/Z273,"")</x:f>
      </x:c>
      <x:c r="AB273" s="26"/>
      <x:c r="AC273" s="26"/>
      <x:c r="AD273" s="55"/>
    </x:row>
    <x:row r="274">
      <x:c r="A274" s="26"/>
      <x:c r="B274" s="26"/>
      <x:c r="C274" s="35"/>
      <x:c r="D274" s="39"/>
      <x:c r="E274" s="39"/>
      <x:c r="F274" s="26"/>
      <x:c r="G274" s="26"/>
      <x:c r="H274" s="26"/>
      <x:c r="I274" s="26"/>
      <x:c r="J274" s="26"/>
      <x:c r="K274" s="43"/>
      <x:c r="L274" s="48"/>
      <x:c r="M274" s="48"/>
      <x:c r="N274" s="48"/>
      <x:c r="O274" s="48"/>
      <x:c r="P274" s="48"/>
      <x:c r="Q274" s="48"/>
      <x:c r="R274" s="48"/>
      <x:c r="S274" s="48"/>
      <x:c r="T274" s="48"/>
      <x:c r="U274" s="48"/>
      <x:c r="V274" s="48"/>
      <x:c r="W274" s="47" t="str">
        <x:f>IF(OR(J274="",K274="",L274="",M274=""),"",IF(J274="Long",(M274-L274)*K274,(L274-M274)*K274))</x:f>
      </x:c>
      <x:c r="X274" s="47" t="str">
        <x:f>IF(COUNTA(S274:V274)=0,"",SUM(S274:V274))</x:f>
      </x:c>
      <x:c r="Y274" s="47" t="str">
        <x:f>IF(W274="","",W274-IF(X274="",0,X274))</x:f>
      </x:c>
      <x:c r="Z274" s="47" t="str">
        <x:f>IF(OR(K274="",L274="",N274=""),"",ABS(L274-N274)*K274)</x:f>
      </x:c>
      <x:c r="AA274" s="52" t="str">
        <x:f>IFERROR(Y274/Z274,"")</x:f>
      </x:c>
      <x:c r="AB274" s="26"/>
      <x:c r="AC274" s="26"/>
      <x:c r="AD274" s="55"/>
    </x:row>
    <x:row r="275">
      <x:c r="A275" s="26"/>
      <x:c r="B275" s="26"/>
      <x:c r="C275" s="35"/>
      <x:c r="D275" s="39"/>
      <x:c r="E275" s="39"/>
      <x:c r="F275" s="26"/>
      <x:c r="G275" s="26"/>
      <x:c r="H275" s="26"/>
      <x:c r="I275" s="26"/>
      <x:c r="J275" s="26"/>
      <x:c r="K275" s="43"/>
      <x:c r="L275" s="48"/>
      <x:c r="M275" s="48"/>
      <x:c r="N275" s="48"/>
      <x:c r="O275" s="48"/>
      <x:c r="P275" s="48"/>
      <x:c r="Q275" s="48"/>
      <x:c r="R275" s="48"/>
      <x:c r="S275" s="48"/>
      <x:c r="T275" s="48"/>
      <x:c r="U275" s="48"/>
      <x:c r="V275" s="48"/>
      <x:c r="W275" s="47" t="str">
        <x:f>IF(OR(J275="",K275="",L275="",M275=""),"",IF(J275="Long",(M275-L275)*K275,(L275-M275)*K275))</x:f>
      </x:c>
      <x:c r="X275" s="47" t="str">
        <x:f>IF(COUNTA(S275:V275)=0,"",SUM(S275:V275))</x:f>
      </x:c>
      <x:c r="Y275" s="47" t="str">
        <x:f>IF(W275="","",W275-IF(X275="",0,X275))</x:f>
      </x:c>
      <x:c r="Z275" s="47" t="str">
        <x:f>IF(OR(K275="",L275="",N275=""),"",ABS(L275-N275)*K275)</x:f>
      </x:c>
      <x:c r="AA275" s="52" t="str">
        <x:f>IFERROR(Y275/Z275,"")</x:f>
      </x:c>
      <x:c r="AB275" s="26"/>
      <x:c r="AC275" s="26"/>
      <x:c r="AD275" s="55"/>
    </x:row>
    <x:row r="276">
      <x:c r="A276" s="26"/>
      <x:c r="B276" s="26"/>
      <x:c r="C276" s="35"/>
      <x:c r="D276" s="39"/>
      <x:c r="E276" s="39"/>
      <x:c r="F276" s="26"/>
      <x:c r="G276" s="26"/>
      <x:c r="H276" s="26"/>
      <x:c r="I276" s="26"/>
      <x:c r="J276" s="26"/>
      <x:c r="K276" s="43"/>
      <x:c r="L276" s="48"/>
      <x:c r="M276" s="48"/>
      <x:c r="N276" s="48"/>
      <x:c r="O276" s="48"/>
      <x:c r="P276" s="48"/>
      <x:c r="Q276" s="48"/>
      <x:c r="R276" s="48"/>
      <x:c r="S276" s="48"/>
      <x:c r="T276" s="48"/>
      <x:c r="U276" s="48"/>
      <x:c r="V276" s="48"/>
      <x:c r="W276" s="47" t="str">
        <x:f>IF(OR(J276="",K276="",L276="",M276=""),"",IF(J276="Long",(M276-L276)*K276,(L276-M276)*K276))</x:f>
      </x:c>
      <x:c r="X276" s="47" t="str">
        <x:f>IF(COUNTA(S276:V276)=0,"",SUM(S276:V276))</x:f>
      </x:c>
      <x:c r="Y276" s="47" t="str">
        <x:f>IF(W276="","",W276-IF(X276="",0,X276))</x:f>
      </x:c>
      <x:c r="Z276" s="47" t="str">
        <x:f>IF(OR(K276="",L276="",N276=""),"",ABS(L276-N276)*K276)</x:f>
      </x:c>
      <x:c r="AA276" s="52" t="str">
        <x:f>IFERROR(Y276/Z276,"")</x:f>
      </x:c>
      <x:c r="AB276" s="26"/>
      <x:c r="AC276" s="26"/>
      <x:c r="AD276" s="55"/>
    </x:row>
    <x:row r="277">
      <x:c r="A277" s="26"/>
      <x:c r="B277" s="26"/>
      <x:c r="C277" s="35"/>
      <x:c r="D277" s="39"/>
      <x:c r="E277" s="39"/>
      <x:c r="F277" s="26"/>
      <x:c r="G277" s="26"/>
      <x:c r="H277" s="26"/>
      <x:c r="I277" s="26"/>
      <x:c r="J277" s="26"/>
      <x:c r="K277" s="43"/>
      <x:c r="L277" s="48"/>
      <x:c r="M277" s="48"/>
      <x:c r="N277" s="48"/>
      <x:c r="O277" s="48"/>
      <x:c r="P277" s="48"/>
      <x:c r="Q277" s="48"/>
      <x:c r="R277" s="48"/>
      <x:c r="S277" s="48"/>
      <x:c r="T277" s="48"/>
      <x:c r="U277" s="48"/>
      <x:c r="V277" s="48"/>
      <x:c r="W277" s="47" t="str">
        <x:f>IF(OR(J277="",K277="",L277="",M277=""),"",IF(J277="Long",(M277-L277)*K277,(L277-M277)*K277))</x:f>
      </x:c>
      <x:c r="X277" s="47" t="str">
        <x:f>IF(COUNTA(S277:V277)=0,"",SUM(S277:V277))</x:f>
      </x:c>
      <x:c r="Y277" s="47" t="str">
        <x:f>IF(W277="","",W277-IF(X277="",0,X277))</x:f>
      </x:c>
      <x:c r="Z277" s="47" t="str">
        <x:f>IF(OR(K277="",L277="",N277=""),"",ABS(L277-N277)*K277)</x:f>
      </x:c>
      <x:c r="AA277" s="52" t="str">
        <x:f>IFERROR(Y277/Z277,"")</x:f>
      </x:c>
      <x:c r="AB277" s="26"/>
      <x:c r="AC277" s="26"/>
      <x:c r="AD277" s="55"/>
    </x:row>
    <x:row r="278">
      <x:c r="A278" s="26"/>
      <x:c r="B278" s="26"/>
      <x:c r="C278" s="35"/>
      <x:c r="D278" s="39"/>
      <x:c r="E278" s="39"/>
      <x:c r="F278" s="26"/>
      <x:c r="G278" s="26"/>
      <x:c r="H278" s="26"/>
      <x:c r="I278" s="26"/>
      <x:c r="J278" s="26"/>
      <x:c r="K278" s="43"/>
      <x:c r="L278" s="48"/>
      <x:c r="M278" s="48"/>
      <x:c r="N278" s="48"/>
      <x:c r="O278" s="48"/>
      <x:c r="P278" s="48"/>
      <x:c r="Q278" s="48"/>
      <x:c r="R278" s="48"/>
      <x:c r="S278" s="48"/>
      <x:c r="T278" s="48"/>
      <x:c r="U278" s="48"/>
      <x:c r="V278" s="48"/>
      <x:c r="W278" s="47" t="str">
        <x:f>IF(OR(J278="",K278="",L278="",M278=""),"",IF(J278="Long",(M278-L278)*K278,(L278-M278)*K278))</x:f>
      </x:c>
      <x:c r="X278" s="47" t="str">
        <x:f>IF(COUNTA(S278:V278)=0,"",SUM(S278:V278))</x:f>
      </x:c>
      <x:c r="Y278" s="47" t="str">
        <x:f>IF(W278="","",W278-IF(X278="",0,X278))</x:f>
      </x:c>
      <x:c r="Z278" s="47" t="str">
        <x:f>IF(OR(K278="",L278="",N278=""),"",ABS(L278-N278)*K278)</x:f>
      </x:c>
      <x:c r="AA278" s="52" t="str">
        <x:f>IFERROR(Y278/Z278,"")</x:f>
      </x:c>
      <x:c r="AB278" s="26"/>
      <x:c r="AC278" s="26"/>
      <x:c r="AD278" s="55"/>
    </x:row>
    <x:row r="279">
      <x:c r="A279" s="26"/>
      <x:c r="B279" s="26"/>
      <x:c r="C279" s="35"/>
      <x:c r="D279" s="39"/>
      <x:c r="E279" s="39"/>
      <x:c r="F279" s="26"/>
      <x:c r="G279" s="26"/>
      <x:c r="H279" s="26"/>
      <x:c r="I279" s="26"/>
      <x:c r="J279" s="26"/>
      <x:c r="K279" s="43"/>
      <x:c r="L279" s="48"/>
      <x:c r="M279" s="48"/>
      <x:c r="N279" s="48"/>
      <x:c r="O279" s="48"/>
      <x:c r="P279" s="48"/>
      <x:c r="Q279" s="48"/>
      <x:c r="R279" s="48"/>
      <x:c r="S279" s="48"/>
      <x:c r="T279" s="48"/>
      <x:c r="U279" s="48"/>
      <x:c r="V279" s="48"/>
      <x:c r="W279" s="47" t="str">
        <x:f>IF(OR(J279="",K279="",L279="",M279=""),"",IF(J279="Long",(M279-L279)*K279,(L279-M279)*K279))</x:f>
      </x:c>
      <x:c r="X279" s="47" t="str">
        <x:f>IF(COUNTA(S279:V279)=0,"",SUM(S279:V279))</x:f>
      </x:c>
      <x:c r="Y279" s="47" t="str">
        <x:f>IF(W279="","",W279-IF(X279="",0,X279))</x:f>
      </x:c>
      <x:c r="Z279" s="47" t="str">
        <x:f>IF(OR(K279="",L279="",N279=""),"",ABS(L279-N279)*K279)</x:f>
      </x:c>
      <x:c r="AA279" s="52" t="str">
        <x:f>IFERROR(Y279/Z279,"")</x:f>
      </x:c>
      <x:c r="AB279" s="26"/>
      <x:c r="AC279" s="26"/>
      <x:c r="AD279" s="55"/>
    </x:row>
    <x:row r="280">
      <x:c r="A280" s="26"/>
      <x:c r="B280" s="26"/>
      <x:c r="C280" s="35"/>
      <x:c r="D280" s="39"/>
      <x:c r="E280" s="39"/>
      <x:c r="F280" s="26"/>
      <x:c r="G280" s="26"/>
      <x:c r="H280" s="26"/>
      <x:c r="I280" s="26"/>
      <x:c r="J280" s="26"/>
      <x:c r="K280" s="43"/>
      <x:c r="L280" s="48"/>
      <x:c r="M280" s="48"/>
      <x:c r="N280" s="48"/>
      <x:c r="O280" s="48"/>
      <x:c r="P280" s="48"/>
      <x:c r="Q280" s="48"/>
      <x:c r="R280" s="48"/>
      <x:c r="S280" s="48"/>
      <x:c r="T280" s="48"/>
      <x:c r="U280" s="48"/>
      <x:c r="V280" s="48"/>
      <x:c r="W280" s="47" t="str">
        <x:f>IF(OR(J280="",K280="",L280="",M280=""),"",IF(J280="Long",(M280-L280)*K280,(L280-M280)*K280))</x:f>
      </x:c>
      <x:c r="X280" s="47" t="str">
        <x:f>IF(COUNTA(S280:V280)=0,"",SUM(S280:V280))</x:f>
      </x:c>
      <x:c r="Y280" s="47" t="str">
        <x:f>IF(W280="","",W280-IF(X280="",0,X280))</x:f>
      </x:c>
      <x:c r="Z280" s="47" t="str">
        <x:f>IF(OR(K280="",L280="",N280=""),"",ABS(L280-N280)*K280)</x:f>
      </x:c>
      <x:c r="AA280" s="52" t="str">
        <x:f>IFERROR(Y280/Z280,"")</x:f>
      </x:c>
      <x:c r="AB280" s="26"/>
      <x:c r="AC280" s="26"/>
      <x:c r="AD280" s="55"/>
    </x:row>
    <x:row r="281">
      <x:c r="A281" s="26"/>
      <x:c r="B281" s="26"/>
      <x:c r="C281" s="35"/>
      <x:c r="D281" s="39"/>
      <x:c r="E281" s="39"/>
      <x:c r="F281" s="26"/>
      <x:c r="G281" s="26"/>
      <x:c r="H281" s="26"/>
      <x:c r="I281" s="26"/>
      <x:c r="J281" s="26"/>
      <x:c r="K281" s="43"/>
      <x:c r="L281" s="48"/>
      <x:c r="M281" s="48"/>
      <x:c r="N281" s="48"/>
      <x:c r="O281" s="48"/>
      <x:c r="P281" s="48"/>
      <x:c r="Q281" s="48"/>
      <x:c r="R281" s="48"/>
      <x:c r="S281" s="48"/>
      <x:c r="T281" s="48"/>
      <x:c r="U281" s="48"/>
      <x:c r="V281" s="48"/>
      <x:c r="W281" s="47" t="str">
        <x:f>IF(OR(J281="",K281="",L281="",M281=""),"",IF(J281="Long",(M281-L281)*K281,(L281-M281)*K281))</x:f>
      </x:c>
      <x:c r="X281" s="47" t="str">
        <x:f>IF(COUNTA(S281:V281)=0,"",SUM(S281:V281))</x:f>
      </x:c>
      <x:c r="Y281" s="47" t="str">
        <x:f>IF(W281="","",W281-IF(X281="",0,X281))</x:f>
      </x:c>
      <x:c r="Z281" s="47" t="str">
        <x:f>IF(OR(K281="",L281="",N281=""),"",ABS(L281-N281)*K281)</x:f>
      </x:c>
      <x:c r="AA281" s="52" t="str">
        <x:f>IFERROR(Y281/Z281,"")</x:f>
      </x:c>
      <x:c r="AB281" s="26"/>
      <x:c r="AC281" s="26"/>
      <x:c r="AD281" s="55"/>
    </x:row>
    <x:row r="282">
      <x:c r="A282" s="26"/>
      <x:c r="B282" s="26"/>
      <x:c r="C282" s="35"/>
      <x:c r="D282" s="39"/>
      <x:c r="E282" s="39"/>
      <x:c r="F282" s="26"/>
      <x:c r="G282" s="26"/>
      <x:c r="H282" s="26"/>
      <x:c r="I282" s="26"/>
      <x:c r="J282" s="26"/>
      <x:c r="K282" s="43"/>
      <x:c r="L282" s="48"/>
      <x:c r="M282" s="48"/>
      <x:c r="N282" s="48"/>
      <x:c r="O282" s="48"/>
      <x:c r="P282" s="48"/>
      <x:c r="Q282" s="48"/>
      <x:c r="R282" s="48"/>
      <x:c r="S282" s="48"/>
      <x:c r="T282" s="48"/>
      <x:c r="U282" s="48"/>
      <x:c r="V282" s="48"/>
      <x:c r="W282" s="47" t="str">
        <x:f>IF(OR(J282="",K282="",L282="",M282=""),"",IF(J282="Long",(M282-L282)*K282,(L282-M282)*K282))</x:f>
      </x:c>
      <x:c r="X282" s="47" t="str">
        <x:f>IF(COUNTA(S282:V282)=0,"",SUM(S282:V282))</x:f>
      </x:c>
      <x:c r="Y282" s="47" t="str">
        <x:f>IF(W282="","",W282-IF(X282="",0,X282))</x:f>
      </x:c>
      <x:c r="Z282" s="47" t="str">
        <x:f>IF(OR(K282="",L282="",N282=""),"",ABS(L282-N282)*K282)</x:f>
      </x:c>
      <x:c r="AA282" s="52" t="str">
        <x:f>IFERROR(Y282/Z282,"")</x:f>
      </x:c>
      <x:c r="AB282" s="26"/>
      <x:c r="AC282" s="26"/>
      <x:c r="AD282" s="55"/>
    </x:row>
    <x:row r="283">
      <x:c r="A283" s="26"/>
      <x:c r="B283" s="26"/>
      <x:c r="C283" s="35"/>
      <x:c r="D283" s="39"/>
      <x:c r="E283" s="39"/>
      <x:c r="F283" s="26"/>
      <x:c r="G283" s="26"/>
      <x:c r="H283" s="26"/>
      <x:c r="I283" s="26"/>
      <x:c r="J283" s="26"/>
      <x:c r="K283" s="43"/>
      <x:c r="L283" s="48"/>
      <x:c r="M283" s="48"/>
      <x:c r="N283" s="48"/>
      <x:c r="O283" s="48"/>
      <x:c r="P283" s="48"/>
      <x:c r="Q283" s="48"/>
      <x:c r="R283" s="48"/>
      <x:c r="S283" s="48"/>
      <x:c r="T283" s="48"/>
      <x:c r="U283" s="48"/>
      <x:c r="V283" s="48"/>
      <x:c r="W283" s="47" t="str">
        <x:f>IF(OR(J283="",K283="",L283="",M283=""),"",IF(J283="Long",(M283-L283)*K283,(L283-M283)*K283))</x:f>
      </x:c>
      <x:c r="X283" s="47" t="str">
        <x:f>IF(COUNTA(S283:V283)=0,"",SUM(S283:V283))</x:f>
      </x:c>
      <x:c r="Y283" s="47" t="str">
        <x:f>IF(W283="","",W283-IF(X283="",0,X283))</x:f>
      </x:c>
      <x:c r="Z283" s="47" t="str">
        <x:f>IF(OR(K283="",L283="",N283=""),"",ABS(L283-N283)*K283)</x:f>
      </x:c>
      <x:c r="AA283" s="52" t="str">
        <x:f>IFERROR(Y283/Z283,"")</x:f>
      </x:c>
      <x:c r="AB283" s="26"/>
      <x:c r="AC283" s="26"/>
      <x:c r="AD283" s="55"/>
    </x:row>
    <x:row r="284">
      <x:c r="A284" s="26"/>
      <x:c r="B284" s="26"/>
      <x:c r="C284" s="35"/>
      <x:c r="D284" s="39"/>
      <x:c r="E284" s="39"/>
      <x:c r="F284" s="26"/>
      <x:c r="G284" s="26"/>
      <x:c r="H284" s="26"/>
      <x:c r="I284" s="26"/>
      <x:c r="J284" s="26"/>
      <x:c r="K284" s="43"/>
      <x:c r="L284" s="48"/>
      <x:c r="M284" s="48"/>
      <x:c r="N284" s="48"/>
      <x:c r="O284" s="48"/>
      <x:c r="P284" s="48"/>
      <x:c r="Q284" s="48"/>
      <x:c r="R284" s="48"/>
      <x:c r="S284" s="48"/>
      <x:c r="T284" s="48"/>
      <x:c r="U284" s="48"/>
      <x:c r="V284" s="48"/>
      <x:c r="W284" s="47" t="str">
        <x:f>IF(OR(J284="",K284="",L284="",M284=""),"",IF(J284="Long",(M284-L284)*K284,(L284-M284)*K284))</x:f>
      </x:c>
      <x:c r="X284" s="47" t="str">
        <x:f>IF(COUNTA(S284:V284)=0,"",SUM(S284:V284))</x:f>
      </x:c>
      <x:c r="Y284" s="47" t="str">
        <x:f>IF(W284="","",W284-IF(X284="",0,X284))</x:f>
      </x:c>
      <x:c r="Z284" s="47" t="str">
        <x:f>IF(OR(K284="",L284="",N284=""),"",ABS(L284-N284)*K284)</x:f>
      </x:c>
      <x:c r="AA284" s="52" t="str">
        <x:f>IFERROR(Y284/Z284,"")</x:f>
      </x:c>
      <x:c r="AB284" s="26"/>
      <x:c r="AC284" s="26"/>
      <x:c r="AD284" s="55"/>
    </x:row>
    <x:row r="285">
      <x:c r="A285" s="26"/>
      <x:c r="B285" s="26"/>
      <x:c r="C285" s="35"/>
      <x:c r="D285" s="39"/>
      <x:c r="E285" s="39"/>
      <x:c r="F285" s="26"/>
      <x:c r="G285" s="26"/>
      <x:c r="H285" s="26"/>
      <x:c r="I285" s="26"/>
      <x:c r="J285" s="26"/>
      <x:c r="K285" s="43"/>
      <x:c r="L285" s="48"/>
      <x:c r="M285" s="48"/>
      <x:c r="N285" s="48"/>
      <x:c r="O285" s="48"/>
      <x:c r="P285" s="48"/>
      <x:c r="Q285" s="48"/>
      <x:c r="R285" s="48"/>
      <x:c r="S285" s="48"/>
      <x:c r="T285" s="48"/>
      <x:c r="U285" s="48"/>
      <x:c r="V285" s="48"/>
      <x:c r="W285" s="47" t="str">
        <x:f>IF(OR(J285="",K285="",L285="",M285=""),"",IF(J285="Long",(M285-L285)*K285,(L285-M285)*K285))</x:f>
      </x:c>
      <x:c r="X285" s="47" t="str">
        <x:f>IF(COUNTA(S285:V285)=0,"",SUM(S285:V285))</x:f>
      </x:c>
      <x:c r="Y285" s="47" t="str">
        <x:f>IF(W285="","",W285-IF(X285="",0,X285))</x:f>
      </x:c>
      <x:c r="Z285" s="47" t="str">
        <x:f>IF(OR(K285="",L285="",N285=""),"",ABS(L285-N285)*K285)</x:f>
      </x:c>
      <x:c r="AA285" s="52" t="str">
        <x:f>IFERROR(Y285/Z285,"")</x:f>
      </x:c>
      <x:c r="AB285" s="26"/>
      <x:c r="AC285" s="26"/>
      <x:c r="AD285" s="55"/>
    </x:row>
    <x:row r="286">
      <x:c r="A286" s="26"/>
      <x:c r="B286" s="26"/>
      <x:c r="C286" s="35"/>
      <x:c r="D286" s="39"/>
      <x:c r="E286" s="39"/>
      <x:c r="F286" s="26"/>
      <x:c r="G286" s="26"/>
      <x:c r="H286" s="26"/>
      <x:c r="I286" s="26"/>
      <x:c r="J286" s="26"/>
      <x:c r="K286" s="43"/>
      <x:c r="L286" s="48"/>
      <x:c r="M286" s="48"/>
      <x:c r="N286" s="48"/>
      <x:c r="O286" s="48"/>
      <x:c r="P286" s="48"/>
      <x:c r="Q286" s="48"/>
      <x:c r="R286" s="48"/>
      <x:c r="S286" s="48"/>
      <x:c r="T286" s="48"/>
      <x:c r="U286" s="48"/>
      <x:c r="V286" s="48"/>
      <x:c r="W286" s="47" t="str">
        <x:f>IF(OR(J286="",K286="",L286="",M286=""),"",IF(J286="Long",(M286-L286)*K286,(L286-M286)*K286))</x:f>
      </x:c>
      <x:c r="X286" s="47" t="str">
        <x:f>IF(COUNTA(S286:V286)=0,"",SUM(S286:V286))</x:f>
      </x:c>
      <x:c r="Y286" s="47" t="str">
        <x:f>IF(W286="","",W286-IF(X286="",0,X286))</x:f>
      </x:c>
      <x:c r="Z286" s="47" t="str">
        <x:f>IF(OR(K286="",L286="",N286=""),"",ABS(L286-N286)*K286)</x:f>
      </x:c>
      <x:c r="AA286" s="52" t="str">
        <x:f>IFERROR(Y286/Z286,"")</x:f>
      </x:c>
      <x:c r="AB286" s="26"/>
      <x:c r="AC286" s="26"/>
      <x:c r="AD286" s="55"/>
    </x:row>
    <x:row r="287">
      <x:c r="A287" s="26"/>
      <x:c r="B287" s="26"/>
      <x:c r="C287" s="35"/>
      <x:c r="D287" s="39"/>
      <x:c r="E287" s="39"/>
      <x:c r="F287" s="26"/>
      <x:c r="G287" s="26"/>
      <x:c r="H287" s="26"/>
      <x:c r="I287" s="26"/>
      <x:c r="J287" s="26"/>
      <x:c r="K287" s="43"/>
      <x:c r="L287" s="48"/>
      <x:c r="M287" s="48"/>
      <x:c r="N287" s="48"/>
      <x:c r="O287" s="48"/>
      <x:c r="P287" s="48"/>
      <x:c r="Q287" s="48"/>
      <x:c r="R287" s="48"/>
      <x:c r="S287" s="48"/>
      <x:c r="T287" s="48"/>
      <x:c r="U287" s="48"/>
      <x:c r="V287" s="48"/>
      <x:c r="W287" s="47" t="str">
        <x:f>IF(OR(J287="",K287="",L287="",M287=""),"",IF(J287="Long",(M287-L287)*K287,(L287-M287)*K287))</x:f>
      </x:c>
      <x:c r="X287" s="47" t="str">
        <x:f>IF(COUNTA(S287:V287)=0,"",SUM(S287:V287))</x:f>
      </x:c>
      <x:c r="Y287" s="47" t="str">
        <x:f>IF(W287="","",W287-IF(X287="",0,X287))</x:f>
      </x:c>
      <x:c r="Z287" s="47" t="str">
        <x:f>IF(OR(K287="",L287="",N287=""),"",ABS(L287-N287)*K287)</x:f>
      </x:c>
      <x:c r="AA287" s="52" t="str">
        <x:f>IFERROR(Y287/Z287,"")</x:f>
      </x:c>
      <x:c r="AB287" s="26"/>
      <x:c r="AC287" s="26"/>
      <x:c r="AD287" s="55"/>
    </x:row>
    <x:row r="288">
      <x:c r="A288" s="26"/>
      <x:c r="B288" s="26"/>
      <x:c r="C288" s="35"/>
      <x:c r="D288" s="39"/>
      <x:c r="E288" s="39"/>
      <x:c r="F288" s="26"/>
      <x:c r="G288" s="26"/>
      <x:c r="H288" s="26"/>
      <x:c r="I288" s="26"/>
      <x:c r="J288" s="26"/>
      <x:c r="K288" s="43"/>
      <x:c r="L288" s="48"/>
      <x:c r="M288" s="48"/>
      <x:c r="N288" s="48"/>
      <x:c r="O288" s="48"/>
      <x:c r="P288" s="48"/>
      <x:c r="Q288" s="48"/>
      <x:c r="R288" s="48"/>
      <x:c r="S288" s="48"/>
      <x:c r="T288" s="48"/>
      <x:c r="U288" s="48"/>
      <x:c r="V288" s="48"/>
      <x:c r="W288" s="47" t="str">
        <x:f>IF(OR(J288="",K288="",L288="",M288=""),"",IF(J288="Long",(M288-L288)*K288,(L288-M288)*K288))</x:f>
      </x:c>
      <x:c r="X288" s="47" t="str">
        <x:f>IF(COUNTA(S288:V288)=0,"",SUM(S288:V288))</x:f>
      </x:c>
      <x:c r="Y288" s="47" t="str">
        <x:f>IF(W288="","",W288-IF(X288="",0,X288))</x:f>
      </x:c>
      <x:c r="Z288" s="47" t="str">
        <x:f>IF(OR(K288="",L288="",N288=""),"",ABS(L288-N288)*K288)</x:f>
      </x:c>
      <x:c r="AA288" s="52" t="str">
        <x:f>IFERROR(Y288/Z288,"")</x:f>
      </x:c>
      <x:c r="AB288" s="26"/>
      <x:c r="AC288" s="26"/>
      <x:c r="AD288" s="55"/>
    </x:row>
    <x:row r="289">
      <x:c r="A289" s="26"/>
      <x:c r="B289" s="26"/>
      <x:c r="C289" s="35"/>
      <x:c r="D289" s="39"/>
      <x:c r="E289" s="39"/>
      <x:c r="F289" s="26"/>
      <x:c r="G289" s="26"/>
      <x:c r="H289" s="26"/>
      <x:c r="I289" s="26"/>
      <x:c r="J289" s="26"/>
      <x:c r="K289" s="43"/>
      <x:c r="L289" s="48"/>
      <x:c r="M289" s="48"/>
      <x:c r="N289" s="48"/>
      <x:c r="O289" s="48"/>
      <x:c r="P289" s="48"/>
      <x:c r="Q289" s="48"/>
      <x:c r="R289" s="48"/>
      <x:c r="S289" s="48"/>
      <x:c r="T289" s="48"/>
      <x:c r="U289" s="48"/>
      <x:c r="V289" s="48"/>
      <x:c r="W289" s="47" t="str">
        <x:f>IF(OR(J289="",K289="",L289="",M289=""),"",IF(J289="Long",(M289-L289)*K289,(L289-M289)*K289))</x:f>
      </x:c>
      <x:c r="X289" s="47" t="str">
        <x:f>IF(COUNTA(S289:V289)=0,"",SUM(S289:V289))</x:f>
      </x:c>
      <x:c r="Y289" s="47" t="str">
        <x:f>IF(W289="","",W289-IF(X289="",0,X289))</x:f>
      </x:c>
      <x:c r="Z289" s="47" t="str">
        <x:f>IF(OR(K289="",L289="",N289=""),"",ABS(L289-N289)*K289)</x:f>
      </x:c>
      <x:c r="AA289" s="52" t="str">
        <x:f>IFERROR(Y289/Z289,"")</x:f>
      </x:c>
      <x:c r="AB289" s="26"/>
      <x:c r="AC289" s="26"/>
      <x:c r="AD289" s="55"/>
    </x:row>
    <x:row r="290">
      <x:c r="A290" s="26"/>
      <x:c r="B290" s="26"/>
      <x:c r="C290" s="35"/>
      <x:c r="D290" s="39"/>
      <x:c r="E290" s="39"/>
      <x:c r="F290" s="26"/>
      <x:c r="G290" s="26"/>
      <x:c r="H290" s="26"/>
      <x:c r="I290" s="26"/>
      <x:c r="J290" s="26"/>
      <x:c r="K290" s="43"/>
      <x:c r="L290" s="48"/>
      <x:c r="M290" s="48"/>
      <x:c r="N290" s="48"/>
      <x:c r="O290" s="48"/>
      <x:c r="P290" s="48"/>
      <x:c r="Q290" s="48"/>
      <x:c r="R290" s="48"/>
      <x:c r="S290" s="48"/>
      <x:c r="T290" s="48"/>
      <x:c r="U290" s="48"/>
      <x:c r="V290" s="48"/>
      <x:c r="W290" s="47" t="str">
        <x:f>IF(OR(J290="",K290="",L290="",M290=""),"",IF(J290="Long",(M290-L290)*K290,(L290-M290)*K290))</x:f>
      </x:c>
      <x:c r="X290" s="47" t="str">
        <x:f>IF(COUNTA(S290:V290)=0,"",SUM(S290:V290))</x:f>
      </x:c>
      <x:c r="Y290" s="47" t="str">
        <x:f>IF(W290="","",W290-IF(X290="",0,X290))</x:f>
      </x:c>
      <x:c r="Z290" s="47" t="str">
        <x:f>IF(OR(K290="",L290="",N290=""),"",ABS(L290-N290)*K290)</x:f>
      </x:c>
      <x:c r="AA290" s="52" t="str">
        <x:f>IFERROR(Y290/Z290,"")</x:f>
      </x:c>
      <x:c r="AB290" s="26"/>
      <x:c r="AC290" s="26"/>
      <x:c r="AD290" s="55"/>
    </x:row>
    <x:row r="291">
      <x:c r="A291" s="26"/>
      <x:c r="B291" s="26"/>
      <x:c r="C291" s="35"/>
      <x:c r="D291" s="39"/>
      <x:c r="E291" s="39"/>
      <x:c r="F291" s="26"/>
      <x:c r="G291" s="26"/>
      <x:c r="H291" s="26"/>
      <x:c r="I291" s="26"/>
      <x:c r="J291" s="26"/>
      <x:c r="K291" s="43"/>
      <x:c r="L291" s="48"/>
      <x:c r="M291" s="48"/>
      <x:c r="N291" s="48"/>
      <x:c r="O291" s="48"/>
      <x:c r="P291" s="48"/>
      <x:c r="Q291" s="48"/>
      <x:c r="R291" s="48"/>
      <x:c r="S291" s="48"/>
      <x:c r="T291" s="48"/>
      <x:c r="U291" s="48"/>
      <x:c r="V291" s="48"/>
      <x:c r="W291" s="47" t="str">
        <x:f>IF(OR(J291="",K291="",L291="",M291=""),"",IF(J291="Long",(M291-L291)*K291,(L291-M291)*K291))</x:f>
      </x:c>
      <x:c r="X291" s="47" t="str">
        <x:f>IF(COUNTA(S291:V291)=0,"",SUM(S291:V291))</x:f>
      </x:c>
      <x:c r="Y291" s="47" t="str">
        <x:f>IF(W291="","",W291-IF(X291="",0,X291))</x:f>
      </x:c>
      <x:c r="Z291" s="47" t="str">
        <x:f>IF(OR(K291="",L291="",N291=""),"",ABS(L291-N291)*K291)</x:f>
      </x:c>
      <x:c r="AA291" s="52" t="str">
        <x:f>IFERROR(Y291/Z291,"")</x:f>
      </x:c>
      <x:c r="AB291" s="26"/>
      <x:c r="AC291" s="26"/>
      <x:c r="AD291" s="55"/>
    </x:row>
    <x:row r="292">
      <x:c r="A292" s="26"/>
      <x:c r="B292" s="26"/>
      <x:c r="C292" s="35"/>
      <x:c r="D292" s="39"/>
      <x:c r="E292" s="39"/>
      <x:c r="F292" s="26"/>
      <x:c r="G292" s="26"/>
      <x:c r="H292" s="26"/>
      <x:c r="I292" s="26"/>
      <x:c r="J292" s="26"/>
      <x:c r="K292" s="43"/>
      <x:c r="L292" s="48"/>
      <x:c r="M292" s="48"/>
      <x:c r="N292" s="48"/>
      <x:c r="O292" s="48"/>
      <x:c r="P292" s="48"/>
      <x:c r="Q292" s="48"/>
      <x:c r="R292" s="48"/>
      <x:c r="S292" s="48"/>
      <x:c r="T292" s="48"/>
      <x:c r="U292" s="48"/>
      <x:c r="V292" s="48"/>
      <x:c r="W292" s="47" t="str">
        <x:f>IF(OR(J292="",K292="",L292="",M292=""),"",IF(J292="Long",(M292-L292)*K292,(L292-M292)*K292))</x:f>
      </x:c>
      <x:c r="X292" s="47" t="str">
        <x:f>IF(COUNTA(S292:V292)=0,"",SUM(S292:V292))</x:f>
      </x:c>
      <x:c r="Y292" s="47" t="str">
        <x:f>IF(W292="","",W292-IF(X292="",0,X292))</x:f>
      </x:c>
      <x:c r="Z292" s="47" t="str">
        <x:f>IF(OR(K292="",L292="",N292=""),"",ABS(L292-N292)*K292)</x:f>
      </x:c>
      <x:c r="AA292" s="52" t="str">
        <x:f>IFERROR(Y292/Z292,"")</x:f>
      </x:c>
      <x:c r="AB292" s="26"/>
      <x:c r="AC292" s="26"/>
      <x:c r="AD292" s="55"/>
    </x:row>
    <x:row r="293">
      <x:c r="A293" s="26"/>
      <x:c r="B293" s="26"/>
      <x:c r="C293" s="35"/>
      <x:c r="D293" s="39"/>
      <x:c r="E293" s="39"/>
      <x:c r="F293" s="26"/>
      <x:c r="G293" s="26"/>
      <x:c r="H293" s="26"/>
      <x:c r="I293" s="26"/>
      <x:c r="J293" s="26"/>
      <x:c r="K293" s="43"/>
      <x:c r="L293" s="48"/>
      <x:c r="M293" s="48"/>
      <x:c r="N293" s="48"/>
      <x:c r="O293" s="48"/>
      <x:c r="P293" s="48"/>
      <x:c r="Q293" s="48"/>
      <x:c r="R293" s="48"/>
      <x:c r="S293" s="48"/>
      <x:c r="T293" s="48"/>
      <x:c r="U293" s="48"/>
      <x:c r="V293" s="48"/>
      <x:c r="W293" s="47" t="str">
        <x:f>IF(OR(J293="",K293="",L293="",M293=""),"",IF(J293="Long",(M293-L293)*K293,(L293-M293)*K293))</x:f>
      </x:c>
      <x:c r="X293" s="47" t="str">
        <x:f>IF(COUNTA(S293:V293)=0,"",SUM(S293:V293))</x:f>
      </x:c>
      <x:c r="Y293" s="47" t="str">
        <x:f>IF(W293="","",W293-IF(X293="",0,X293))</x:f>
      </x:c>
      <x:c r="Z293" s="47" t="str">
        <x:f>IF(OR(K293="",L293="",N293=""),"",ABS(L293-N293)*K293)</x:f>
      </x:c>
      <x:c r="AA293" s="52" t="str">
        <x:f>IFERROR(Y293/Z293,"")</x:f>
      </x:c>
      <x:c r="AB293" s="26"/>
      <x:c r="AC293" s="26"/>
      <x:c r="AD293" s="55"/>
    </x:row>
    <x:row r="294">
      <x:c r="A294" s="26"/>
      <x:c r="B294" s="26"/>
      <x:c r="C294" s="35"/>
      <x:c r="D294" s="39"/>
      <x:c r="E294" s="39"/>
      <x:c r="F294" s="26"/>
      <x:c r="G294" s="26"/>
      <x:c r="H294" s="26"/>
      <x:c r="I294" s="26"/>
      <x:c r="J294" s="26"/>
      <x:c r="K294" s="43"/>
      <x:c r="L294" s="48"/>
      <x:c r="M294" s="48"/>
      <x:c r="N294" s="48"/>
      <x:c r="O294" s="48"/>
      <x:c r="P294" s="48"/>
      <x:c r="Q294" s="48"/>
      <x:c r="R294" s="48"/>
      <x:c r="S294" s="48"/>
      <x:c r="T294" s="48"/>
      <x:c r="U294" s="48"/>
      <x:c r="V294" s="48"/>
      <x:c r="W294" s="47" t="str">
        <x:f>IF(OR(J294="",K294="",L294="",M294=""),"",IF(J294="Long",(M294-L294)*K294,(L294-M294)*K294))</x:f>
      </x:c>
      <x:c r="X294" s="47" t="str">
        <x:f>IF(COUNTA(S294:V294)=0,"",SUM(S294:V294))</x:f>
      </x:c>
      <x:c r="Y294" s="47" t="str">
        <x:f>IF(W294="","",W294-IF(X294="",0,X294))</x:f>
      </x:c>
      <x:c r="Z294" s="47" t="str">
        <x:f>IF(OR(K294="",L294="",N294=""),"",ABS(L294-N294)*K294)</x:f>
      </x:c>
      <x:c r="AA294" s="52" t="str">
        <x:f>IFERROR(Y294/Z294,"")</x:f>
      </x:c>
      <x:c r="AB294" s="26"/>
      <x:c r="AC294" s="26"/>
      <x:c r="AD294" s="55"/>
    </x:row>
    <x:row r="295">
      <x:c r="A295" s="26"/>
      <x:c r="B295" s="26"/>
      <x:c r="C295" s="35"/>
      <x:c r="D295" s="39"/>
      <x:c r="E295" s="39"/>
      <x:c r="F295" s="26"/>
      <x:c r="G295" s="26"/>
      <x:c r="H295" s="26"/>
      <x:c r="I295" s="26"/>
      <x:c r="J295" s="26"/>
      <x:c r="K295" s="43"/>
      <x:c r="L295" s="48"/>
      <x:c r="M295" s="48"/>
      <x:c r="N295" s="48"/>
      <x:c r="O295" s="48"/>
      <x:c r="P295" s="48"/>
      <x:c r="Q295" s="48"/>
      <x:c r="R295" s="48"/>
      <x:c r="S295" s="48"/>
      <x:c r="T295" s="48"/>
      <x:c r="U295" s="48"/>
      <x:c r="V295" s="48"/>
      <x:c r="W295" s="47" t="str">
        <x:f>IF(OR(J295="",K295="",L295="",M295=""),"",IF(J295="Long",(M295-L295)*K295,(L295-M295)*K295))</x:f>
      </x:c>
      <x:c r="X295" s="47" t="str">
        <x:f>IF(COUNTA(S295:V295)=0,"",SUM(S295:V295))</x:f>
      </x:c>
      <x:c r="Y295" s="47" t="str">
        <x:f>IF(W295="","",W295-IF(X295="",0,X295))</x:f>
      </x:c>
      <x:c r="Z295" s="47" t="str">
        <x:f>IF(OR(K295="",L295="",N295=""),"",ABS(L295-N295)*K295)</x:f>
      </x:c>
      <x:c r="AA295" s="52" t="str">
        <x:f>IFERROR(Y295/Z295,"")</x:f>
      </x:c>
      <x:c r="AB295" s="26"/>
      <x:c r="AC295" s="26"/>
      <x:c r="AD295" s="55"/>
    </x:row>
    <x:row r="296">
      <x:c r="A296" s="26"/>
      <x:c r="B296" s="26"/>
      <x:c r="C296" s="35"/>
      <x:c r="D296" s="39"/>
      <x:c r="E296" s="39"/>
      <x:c r="F296" s="26"/>
      <x:c r="G296" s="26"/>
      <x:c r="H296" s="26"/>
      <x:c r="I296" s="26"/>
      <x:c r="J296" s="26"/>
      <x:c r="K296" s="43"/>
      <x:c r="L296" s="48"/>
      <x:c r="M296" s="48"/>
      <x:c r="N296" s="48"/>
      <x:c r="O296" s="48"/>
      <x:c r="P296" s="48"/>
      <x:c r="Q296" s="48"/>
      <x:c r="R296" s="48"/>
      <x:c r="S296" s="48"/>
      <x:c r="T296" s="48"/>
      <x:c r="U296" s="48"/>
      <x:c r="V296" s="48"/>
      <x:c r="W296" s="47" t="str">
        <x:f>IF(OR(J296="",K296="",L296="",M296=""),"",IF(J296="Long",(M296-L296)*K296,(L296-M296)*K296))</x:f>
      </x:c>
      <x:c r="X296" s="47" t="str">
        <x:f>IF(COUNTA(S296:V296)=0,"",SUM(S296:V296))</x:f>
      </x:c>
      <x:c r="Y296" s="47" t="str">
        <x:f>IF(W296="","",W296-IF(X296="",0,X296))</x:f>
      </x:c>
      <x:c r="Z296" s="47" t="str">
        <x:f>IF(OR(K296="",L296="",N296=""),"",ABS(L296-N296)*K296)</x:f>
      </x:c>
      <x:c r="AA296" s="52" t="str">
        <x:f>IFERROR(Y296/Z296,"")</x:f>
      </x:c>
      <x:c r="AB296" s="26"/>
      <x:c r="AC296" s="26"/>
      <x:c r="AD296" s="55"/>
    </x:row>
    <x:row r="297">
      <x:c r="A297" s="26"/>
      <x:c r="B297" s="26"/>
      <x:c r="C297" s="35"/>
      <x:c r="D297" s="39"/>
      <x:c r="E297" s="39"/>
      <x:c r="F297" s="26"/>
      <x:c r="G297" s="26"/>
      <x:c r="H297" s="26"/>
      <x:c r="I297" s="26"/>
      <x:c r="J297" s="26"/>
      <x:c r="K297" s="43"/>
      <x:c r="L297" s="48"/>
      <x:c r="M297" s="48"/>
      <x:c r="N297" s="48"/>
      <x:c r="O297" s="48"/>
      <x:c r="P297" s="48"/>
      <x:c r="Q297" s="48"/>
      <x:c r="R297" s="48"/>
      <x:c r="S297" s="48"/>
      <x:c r="T297" s="48"/>
      <x:c r="U297" s="48"/>
      <x:c r="V297" s="48"/>
      <x:c r="W297" s="47" t="str">
        <x:f>IF(OR(J297="",K297="",L297="",M297=""),"",IF(J297="Long",(M297-L297)*K297,(L297-M297)*K297))</x:f>
      </x:c>
      <x:c r="X297" s="47" t="str">
        <x:f>IF(COUNTA(S297:V297)=0,"",SUM(S297:V297))</x:f>
      </x:c>
      <x:c r="Y297" s="47" t="str">
        <x:f>IF(W297="","",W297-IF(X297="",0,X297))</x:f>
      </x:c>
      <x:c r="Z297" s="47" t="str">
        <x:f>IF(OR(K297="",L297="",N297=""),"",ABS(L297-N297)*K297)</x:f>
      </x:c>
      <x:c r="AA297" s="52" t="str">
        <x:f>IFERROR(Y297/Z297,"")</x:f>
      </x:c>
      <x:c r="AB297" s="26"/>
      <x:c r="AC297" s="26"/>
      <x:c r="AD297" s="55"/>
    </x:row>
    <x:row r="298">
      <x:c r="A298" s="26"/>
      <x:c r="B298" s="26"/>
      <x:c r="C298" s="35"/>
      <x:c r="D298" s="39"/>
      <x:c r="E298" s="39"/>
      <x:c r="F298" s="26"/>
      <x:c r="G298" s="26"/>
      <x:c r="H298" s="26"/>
      <x:c r="I298" s="26"/>
      <x:c r="J298" s="26"/>
      <x:c r="K298" s="43"/>
      <x:c r="L298" s="48"/>
      <x:c r="M298" s="48"/>
      <x:c r="N298" s="48"/>
      <x:c r="O298" s="48"/>
      <x:c r="P298" s="48"/>
      <x:c r="Q298" s="48"/>
      <x:c r="R298" s="48"/>
      <x:c r="S298" s="48"/>
      <x:c r="T298" s="48"/>
      <x:c r="U298" s="48"/>
      <x:c r="V298" s="48"/>
      <x:c r="W298" s="47" t="str">
        <x:f>IF(OR(J298="",K298="",L298="",M298=""),"",IF(J298="Long",(M298-L298)*K298,(L298-M298)*K298))</x:f>
      </x:c>
      <x:c r="X298" s="47" t="str">
        <x:f>IF(COUNTA(S298:V298)=0,"",SUM(S298:V298))</x:f>
      </x:c>
      <x:c r="Y298" s="47" t="str">
        <x:f>IF(W298="","",W298-IF(X298="",0,X298))</x:f>
      </x:c>
      <x:c r="Z298" s="47" t="str">
        <x:f>IF(OR(K298="",L298="",N298=""),"",ABS(L298-N298)*K298)</x:f>
      </x:c>
      <x:c r="AA298" s="52" t="str">
        <x:f>IFERROR(Y298/Z298,"")</x:f>
      </x:c>
      <x:c r="AB298" s="26"/>
      <x:c r="AC298" s="26"/>
      <x:c r="AD298" s="55"/>
    </x:row>
    <x:row r="299">
      <x:c r="A299" s="26"/>
      <x:c r="B299" s="26"/>
      <x:c r="C299" s="35"/>
      <x:c r="D299" s="39"/>
      <x:c r="E299" s="39"/>
      <x:c r="F299" s="26"/>
      <x:c r="G299" s="26"/>
      <x:c r="H299" s="26"/>
      <x:c r="I299" s="26"/>
      <x:c r="J299" s="26"/>
      <x:c r="K299" s="43"/>
      <x:c r="L299" s="48"/>
      <x:c r="M299" s="48"/>
      <x:c r="N299" s="48"/>
      <x:c r="O299" s="48"/>
      <x:c r="P299" s="48"/>
      <x:c r="Q299" s="48"/>
      <x:c r="R299" s="48"/>
      <x:c r="S299" s="48"/>
      <x:c r="T299" s="48"/>
      <x:c r="U299" s="48"/>
      <x:c r="V299" s="48"/>
      <x:c r="W299" s="47" t="str">
        <x:f>IF(OR(J299="",K299="",L299="",M299=""),"",IF(J299="Long",(M299-L299)*K299,(L299-M299)*K299))</x:f>
      </x:c>
      <x:c r="X299" s="47" t="str">
        <x:f>IF(COUNTA(S299:V299)=0,"",SUM(S299:V299))</x:f>
      </x:c>
      <x:c r="Y299" s="47" t="str">
        <x:f>IF(W299="","",W299-IF(X299="",0,X299))</x:f>
      </x:c>
      <x:c r="Z299" s="47" t="str">
        <x:f>IF(OR(K299="",L299="",N299=""),"",ABS(L299-N299)*K299)</x:f>
      </x:c>
      <x:c r="AA299" s="52" t="str">
        <x:f>IFERROR(Y299/Z299,"")</x:f>
      </x:c>
      <x:c r="AB299" s="26"/>
      <x:c r="AC299" s="26"/>
      <x:c r="AD299" s="55"/>
    </x:row>
    <x:row r="300">
      <x:c r="A300" s="26"/>
      <x:c r="B300" s="26"/>
      <x:c r="C300" s="35"/>
      <x:c r="D300" s="39"/>
      <x:c r="E300" s="39"/>
      <x:c r="F300" s="26"/>
      <x:c r="G300" s="26"/>
      <x:c r="H300" s="26"/>
      <x:c r="I300" s="26"/>
      <x:c r="J300" s="26"/>
      <x:c r="K300" s="43"/>
      <x:c r="L300" s="48"/>
      <x:c r="M300" s="48"/>
      <x:c r="N300" s="48"/>
      <x:c r="O300" s="48"/>
      <x:c r="P300" s="48"/>
      <x:c r="Q300" s="48"/>
      <x:c r="R300" s="48"/>
      <x:c r="S300" s="48"/>
      <x:c r="T300" s="48"/>
      <x:c r="U300" s="48"/>
      <x:c r="V300" s="48"/>
      <x:c r="W300" s="47" t="str">
        <x:f>IF(OR(J300="",K300="",L300="",M300=""),"",IF(J300="Long",(M300-L300)*K300,(L300-M300)*K300))</x:f>
      </x:c>
      <x:c r="X300" s="47" t="str">
        <x:f>IF(COUNTA(S300:V300)=0,"",SUM(S300:V300))</x:f>
      </x:c>
      <x:c r="Y300" s="47" t="str">
        <x:f>IF(W300="","",W300-IF(X300="",0,X300))</x:f>
      </x:c>
      <x:c r="Z300" s="47" t="str">
        <x:f>IF(OR(K300="",L300="",N300=""),"",ABS(L300-N300)*K300)</x:f>
      </x:c>
      <x:c r="AA300" s="52" t="str">
        <x:f>IFERROR(Y300/Z300,"")</x:f>
      </x:c>
      <x:c r="AB300" s="26"/>
      <x:c r="AC300" s="26"/>
      <x:c r="AD300" s="55"/>
    </x:row>
    <x:row r="301">
      <x:c r="A301" s="26"/>
      <x:c r="B301" s="26"/>
      <x:c r="C301" s="35"/>
      <x:c r="D301" s="39"/>
      <x:c r="E301" s="39"/>
      <x:c r="F301" s="26"/>
      <x:c r="G301" s="26"/>
      <x:c r="H301" s="26"/>
      <x:c r="I301" s="26"/>
      <x:c r="J301" s="26"/>
      <x:c r="K301" s="43"/>
      <x:c r="L301" s="48"/>
      <x:c r="M301" s="48"/>
      <x:c r="N301" s="48"/>
      <x:c r="O301" s="48"/>
      <x:c r="P301" s="48"/>
      <x:c r="Q301" s="48"/>
      <x:c r="R301" s="48"/>
      <x:c r="S301" s="48"/>
      <x:c r="T301" s="48"/>
      <x:c r="U301" s="48"/>
      <x:c r="V301" s="48"/>
      <x:c r="W301" s="47" t="str">
        <x:f>IF(OR(J301="",K301="",L301="",M301=""),"",IF(J301="Long",(M301-L301)*K301,(L301-M301)*K301))</x:f>
      </x:c>
      <x:c r="X301" s="47" t="str">
        <x:f>IF(COUNTA(S301:V301)=0,"",SUM(S301:V301))</x:f>
      </x:c>
      <x:c r="Y301" s="47" t="str">
        <x:f>IF(W301="","",W301-IF(X301="",0,X301))</x:f>
      </x:c>
      <x:c r="Z301" s="47" t="str">
        <x:f>IF(OR(K301="",L301="",N301=""),"",ABS(L301-N301)*K301)</x:f>
      </x:c>
      <x:c r="AA301" s="52" t="str">
        <x:f>IFERROR(Y301/Z301,"")</x:f>
      </x:c>
      <x:c r="AB301" s="26"/>
      <x:c r="AC301" s="26"/>
      <x:c r="AD301" s="55"/>
    </x:row>
    <x:row r="302">
      <x:c r="A302" s="26"/>
      <x:c r="B302" s="26"/>
      <x:c r="C302" s="35"/>
      <x:c r="D302" s="39"/>
      <x:c r="E302" s="39"/>
      <x:c r="F302" s="26"/>
      <x:c r="G302" s="26"/>
      <x:c r="H302" s="26"/>
      <x:c r="I302" s="26"/>
      <x:c r="J302" s="26"/>
      <x:c r="K302" s="43"/>
      <x:c r="L302" s="48"/>
      <x:c r="M302" s="48"/>
      <x:c r="N302" s="48"/>
      <x:c r="O302" s="48"/>
      <x:c r="P302" s="48"/>
      <x:c r="Q302" s="48"/>
      <x:c r="R302" s="48"/>
      <x:c r="S302" s="48"/>
      <x:c r="T302" s="48"/>
      <x:c r="U302" s="48"/>
      <x:c r="V302" s="48"/>
      <x:c r="W302" s="47" t="str">
        <x:f>IF(OR(J302="",K302="",L302="",M302=""),"",IF(J302="Long",(M302-L302)*K302,(L302-M302)*K302))</x:f>
      </x:c>
      <x:c r="X302" s="47" t="str">
        <x:f>IF(COUNTA(S302:V302)=0,"",SUM(S302:V302))</x:f>
      </x:c>
      <x:c r="Y302" s="47" t="str">
        <x:f>IF(W302="","",W302-IF(X302="",0,X302))</x:f>
      </x:c>
      <x:c r="Z302" s="47" t="str">
        <x:f>IF(OR(K302="",L302="",N302=""),"",ABS(L302-N302)*K302)</x:f>
      </x:c>
      <x:c r="AA302" s="52" t="str">
        <x:f>IFERROR(Y302/Z302,"")</x:f>
      </x:c>
      <x:c r="AB302" s="26"/>
      <x:c r="AC302" s="26"/>
      <x:c r="AD302" s="55"/>
    </x:row>
    <x:row r="303">
      <x:c r="A303" s="26"/>
      <x:c r="B303" s="26"/>
      <x:c r="C303" s="35"/>
      <x:c r="D303" s="39"/>
      <x:c r="E303" s="39"/>
      <x:c r="F303" s="26"/>
      <x:c r="G303" s="26"/>
      <x:c r="H303" s="26"/>
      <x:c r="I303" s="26"/>
      <x:c r="J303" s="26"/>
      <x:c r="K303" s="43"/>
      <x:c r="L303" s="48"/>
      <x:c r="M303" s="48"/>
      <x:c r="N303" s="48"/>
      <x:c r="O303" s="48"/>
      <x:c r="P303" s="48"/>
      <x:c r="Q303" s="48"/>
      <x:c r="R303" s="48"/>
      <x:c r="S303" s="48"/>
      <x:c r="T303" s="48"/>
      <x:c r="U303" s="48"/>
      <x:c r="V303" s="48"/>
      <x:c r="W303" s="47" t="str">
        <x:f>IF(OR(J303="",K303="",L303="",M303=""),"",IF(J303="Long",(M303-L303)*K303,(L303-M303)*K303))</x:f>
      </x:c>
      <x:c r="X303" s="47" t="str">
        <x:f>IF(COUNTA(S303:V303)=0,"",SUM(S303:V303))</x:f>
      </x:c>
      <x:c r="Y303" s="47" t="str">
        <x:f>IF(W303="","",W303-IF(X303="",0,X303))</x:f>
      </x:c>
      <x:c r="Z303" s="47" t="str">
        <x:f>IF(OR(K303="",L303="",N303=""),"",ABS(L303-N303)*K303)</x:f>
      </x:c>
      <x:c r="AA303" s="52" t="str">
        <x:f>IFERROR(Y303/Z303,"")</x:f>
      </x:c>
      <x:c r="AB303" s="26"/>
      <x:c r="AC303" s="26"/>
      <x:c r="AD303" s="55"/>
    </x:row>
    <x:row r="304">
      <x:c r="A304" s="26"/>
      <x:c r="B304" s="26"/>
      <x:c r="C304" s="35"/>
      <x:c r="D304" s="39"/>
      <x:c r="E304" s="39"/>
      <x:c r="F304" s="26"/>
      <x:c r="G304" s="26"/>
      <x:c r="H304" s="26"/>
      <x:c r="I304" s="26"/>
      <x:c r="J304" s="26"/>
      <x:c r="K304" s="43"/>
      <x:c r="L304" s="48"/>
      <x:c r="M304" s="48"/>
      <x:c r="N304" s="48"/>
      <x:c r="O304" s="48"/>
      <x:c r="P304" s="48"/>
      <x:c r="Q304" s="48"/>
      <x:c r="R304" s="48"/>
      <x:c r="S304" s="48"/>
      <x:c r="T304" s="48"/>
      <x:c r="U304" s="48"/>
      <x:c r="V304" s="48"/>
      <x:c r="W304" s="47" t="str">
        <x:f>IF(OR(J304="",K304="",L304="",M304=""),"",IF(J304="Long",(M304-L304)*K304,(L304-M304)*K304))</x:f>
      </x:c>
      <x:c r="X304" s="47" t="str">
        <x:f>IF(COUNTA(S304:V304)=0,"",SUM(S304:V304))</x:f>
      </x:c>
      <x:c r="Y304" s="47" t="str">
        <x:f>IF(W304="","",W304-IF(X304="",0,X304))</x:f>
      </x:c>
      <x:c r="Z304" s="47" t="str">
        <x:f>IF(OR(K304="",L304="",N304=""),"",ABS(L304-N304)*K304)</x:f>
      </x:c>
      <x:c r="AA304" s="52" t="str">
        <x:f>IFERROR(Y304/Z304,"")</x:f>
      </x:c>
      <x:c r="AB304" s="26"/>
      <x:c r="AC304" s="26"/>
      <x:c r="AD304" s="55"/>
    </x:row>
    <x:row r="305">
      <x:c r="A305" s="26"/>
      <x:c r="B305" s="26"/>
      <x:c r="C305" s="35"/>
      <x:c r="D305" s="39"/>
      <x:c r="E305" s="39"/>
      <x:c r="F305" s="26"/>
      <x:c r="G305" s="26"/>
      <x:c r="H305" s="26"/>
      <x:c r="I305" s="26"/>
      <x:c r="J305" s="26"/>
      <x:c r="K305" s="43"/>
      <x:c r="L305" s="48"/>
      <x:c r="M305" s="48"/>
      <x:c r="N305" s="48"/>
      <x:c r="O305" s="48"/>
      <x:c r="P305" s="48"/>
      <x:c r="Q305" s="48"/>
      <x:c r="R305" s="48"/>
      <x:c r="S305" s="48"/>
      <x:c r="T305" s="48"/>
      <x:c r="U305" s="48"/>
      <x:c r="V305" s="48"/>
      <x:c r="W305" s="47" t="str">
        <x:f>IF(OR(J305="",K305="",L305="",M305=""),"",IF(J305="Long",(M305-L305)*K305,(L305-M305)*K305))</x:f>
      </x:c>
      <x:c r="X305" s="47" t="str">
        <x:f>IF(COUNTA(S305:V305)=0,"",SUM(S305:V305))</x:f>
      </x:c>
      <x:c r="Y305" s="47" t="str">
        <x:f>IF(W305="","",W305-IF(X305="",0,X305))</x:f>
      </x:c>
      <x:c r="Z305" s="47" t="str">
        <x:f>IF(OR(K305="",L305="",N305=""),"",ABS(L305-N305)*K305)</x:f>
      </x:c>
      <x:c r="AA305" s="52" t="str">
        <x:f>IFERROR(Y305/Z305,"")</x:f>
      </x:c>
      <x:c r="AB305" s="26"/>
      <x:c r="AC305" s="26"/>
      <x:c r="AD305" s="55"/>
    </x:row>
    <x:row r="306">
      <x:c r="A306" s="26"/>
      <x:c r="B306" s="26"/>
      <x:c r="C306" s="35"/>
      <x:c r="D306" s="39"/>
      <x:c r="E306" s="39"/>
      <x:c r="F306" s="26"/>
      <x:c r="G306" s="26"/>
      <x:c r="H306" s="26"/>
      <x:c r="I306" s="26"/>
      <x:c r="J306" s="26"/>
      <x:c r="K306" s="43"/>
      <x:c r="L306" s="48"/>
      <x:c r="M306" s="48"/>
      <x:c r="N306" s="48"/>
      <x:c r="O306" s="48"/>
      <x:c r="P306" s="48"/>
      <x:c r="Q306" s="48"/>
      <x:c r="R306" s="48"/>
      <x:c r="S306" s="48"/>
      <x:c r="T306" s="48"/>
      <x:c r="U306" s="48"/>
      <x:c r="V306" s="48"/>
      <x:c r="W306" s="47" t="str">
        <x:f>IF(OR(J306="",K306="",L306="",M306=""),"",IF(J306="Long",(M306-L306)*K306,(L306-M306)*K306))</x:f>
      </x:c>
      <x:c r="X306" s="47" t="str">
        <x:f>IF(COUNTA(S306:V306)=0,"",SUM(S306:V306))</x:f>
      </x:c>
      <x:c r="Y306" s="47" t="str">
        <x:f>IF(W306="","",W306-IF(X306="",0,X306))</x:f>
      </x:c>
      <x:c r="Z306" s="47" t="str">
        <x:f>IF(OR(K306="",L306="",N306=""),"",ABS(L306-N306)*K306)</x:f>
      </x:c>
      <x:c r="AA306" s="52" t="str">
        <x:f>IFERROR(Y306/Z306,"")</x:f>
      </x:c>
      <x:c r="AB306" s="26"/>
      <x:c r="AC306" s="26"/>
      <x:c r="AD306" s="55"/>
    </x:row>
    <x:row r="307">
      <x:c r="A307" s="26"/>
      <x:c r="B307" s="26"/>
      <x:c r="C307" s="35"/>
      <x:c r="D307" s="39"/>
      <x:c r="E307" s="39"/>
      <x:c r="F307" s="26"/>
      <x:c r="G307" s="26"/>
      <x:c r="H307" s="26"/>
      <x:c r="I307" s="26"/>
      <x:c r="J307" s="26"/>
      <x:c r="K307" s="43"/>
      <x:c r="L307" s="48"/>
      <x:c r="M307" s="48"/>
      <x:c r="N307" s="48"/>
      <x:c r="O307" s="48"/>
      <x:c r="P307" s="48"/>
      <x:c r="Q307" s="48"/>
      <x:c r="R307" s="48"/>
      <x:c r="S307" s="48"/>
      <x:c r="T307" s="48"/>
      <x:c r="U307" s="48"/>
      <x:c r="V307" s="48"/>
      <x:c r="W307" s="47" t="str">
        <x:f>IF(OR(J307="",K307="",L307="",M307=""),"",IF(J307="Long",(M307-L307)*K307,(L307-M307)*K307))</x:f>
      </x:c>
      <x:c r="X307" s="47" t="str">
        <x:f>IF(COUNTA(S307:V307)=0,"",SUM(S307:V307))</x:f>
      </x:c>
      <x:c r="Y307" s="47" t="str">
        <x:f>IF(W307="","",W307-IF(X307="",0,X307))</x:f>
      </x:c>
      <x:c r="Z307" s="47" t="str">
        <x:f>IF(OR(K307="",L307="",N307=""),"",ABS(L307-N307)*K307)</x:f>
      </x:c>
      <x:c r="AA307" s="52" t="str">
        <x:f>IFERROR(Y307/Z307,"")</x:f>
      </x:c>
      <x:c r="AB307" s="26"/>
      <x:c r="AC307" s="26"/>
      <x:c r="AD307" s="55"/>
    </x:row>
    <x:row r="308">
      <x:c r="A308" s="26"/>
      <x:c r="B308" s="26"/>
      <x:c r="C308" s="35"/>
      <x:c r="D308" s="39"/>
      <x:c r="E308" s="39"/>
      <x:c r="F308" s="26"/>
      <x:c r="G308" s="26"/>
      <x:c r="H308" s="26"/>
      <x:c r="I308" s="26"/>
      <x:c r="J308" s="26"/>
      <x:c r="K308" s="43"/>
      <x:c r="L308" s="48"/>
      <x:c r="M308" s="48"/>
      <x:c r="N308" s="48"/>
      <x:c r="O308" s="48"/>
      <x:c r="P308" s="48"/>
      <x:c r="Q308" s="48"/>
      <x:c r="R308" s="48"/>
      <x:c r="S308" s="48"/>
      <x:c r="T308" s="48"/>
      <x:c r="U308" s="48"/>
      <x:c r="V308" s="48"/>
      <x:c r="W308" s="47" t="str">
        <x:f>IF(OR(J308="",K308="",L308="",M308=""),"",IF(J308="Long",(M308-L308)*K308,(L308-M308)*K308))</x:f>
      </x:c>
      <x:c r="X308" s="47" t="str">
        <x:f>IF(COUNTA(S308:V308)=0,"",SUM(S308:V308))</x:f>
      </x:c>
      <x:c r="Y308" s="47" t="str">
        <x:f>IF(W308="","",W308-IF(X308="",0,X308))</x:f>
      </x:c>
      <x:c r="Z308" s="47" t="str">
        <x:f>IF(OR(K308="",L308="",N308=""),"",ABS(L308-N308)*K308)</x:f>
      </x:c>
      <x:c r="AA308" s="52" t="str">
        <x:f>IFERROR(Y308/Z308,"")</x:f>
      </x:c>
      <x:c r="AB308" s="26"/>
      <x:c r="AC308" s="26"/>
      <x:c r="AD308" s="55"/>
    </x:row>
    <x:row r="309">
      <x:c r="A309" s="26"/>
      <x:c r="B309" s="26"/>
      <x:c r="C309" s="35"/>
      <x:c r="D309" s="39"/>
      <x:c r="E309" s="39"/>
      <x:c r="F309" s="26"/>
      <x:c r="G309" s="26"/>
      <x:c r="H309" s="26"/>
      <x:c r="I309" s="26"/>
      <x:c r="J309" s="26"/>
      <x:c r="K309" s="43"/>
      <x:c r="L309" s="48"/>
      <x:c r="M309" s="48"/>
      <x:c r="N309" s="48"/>
      <x:c r="O309" s="48"/>
      <x:c r="P309" s="48"/>
      <x:c r="Q309" s="48"/>
      <x:c r="R309" s="48"/>
      <x:c r="S309" s="48"/>
      <x:c r="T309" s="48"/>
      <x:c r="U309" s="48"/>
      <x:c r="V309" s="48"/>
      <x:c r="W309" s="47" t="str">
        <x:f>IF(OR(J309="",K309="",L309="",M309=""),"",IF(J309="Long",(M309-L309)*K309,(L309-M309)*K309))</x:f>
      </x:c>
      <x:c r="X309" s="47" t="str">
        <x:f>IF(COUNTA(S309:V309)=0,"",SUM(S309:V309))</x:f>
      </x:c>
      <x:c r="Y309" s="47" t="str">
        <x:f>IF(W309="","",W309-IF(X309="",0,X309))</x:f>
      </x:c>
      <x:c r="Z309" s="47" t="str">
        <x:f>IF(OR(K309="",L309="",N309=""),"",ABS(L309-N309)*K309)</x:f>
      </x:c>
      <x:c r="AA309" s="52" t="str">
        <x:f>IFERROR(Y309/Z309,"")</x:f>
      </x:c>
      <x:c r="AB309" s="26"/>
      <x:c r="AC309" s="26"/>
      <x:c r="AD309" s="55"/>
    </x:row>
    <x:row r="310">
      <x:c r="A310" s="26"/>
      <x:c r="B310" s="26"/>
      <x:c r="C310" s="35"/>
      <x:c r="D310" s="39"/>
      <x:c r="E310" s="39"/>
      <x:c r="F310" s="26"/>
      <x:c r="G310" s="26"/>
      <x:c r="H310" s="26"/>
      <x:c r="I310" s="26"/>
      <x:c r="J310" s="26"/>
      <x:c r="K310" s="43"/>
      <x:c r="L310" s="48"/>
      <x:c r="M310" s="48"/>
      <x:c r="N310" s="48"/>
      <x:c r="O310" s="48"/>
      <x:c r="P310" s="48"/>
      <x:c r="Q310" s="48"/>
      <x:c r="R310" s="48"/>
      <x:c r="S310" s="48"/>
      <x:c r="T310" s="48"/>
      <x:c r="U310" s="48"/>
      <x:c r="V310" s="48"/>
      <x:c r="W310" s="47" t="str">
        <x:f>IF(OR(J310="",K310="",L310="",M310=""),"",IF(J310="Long",(M310-L310)*K310,(L310-M310)*K310))</x:f>
      </x:c>
      <x:c r="X310" s="47" t="str">
        <x:f>IF(COUNTA(S310:V310)=0,"",SUM(S310:V310))</x:f>
      </x:c>
      <x:c r="Y310" s="47" t="str">
        <x:f>IF(W310="","",W310-IF(X310="",0,X310))</x:f>
      </x:c>
      <x:c r="Z310" s="47" t="str">
        <x:f>IF(OR(K310="",L310="",N310=""),"",ABS(L310-N310)*K310)</x:f>
      </x:c>
      <x:c r="AA310" s="52" t="str">
        <x:f>IFERROR(Y310/Z310,"")</x:f>
      </x:c>
      <x:c r="AB310" s="26"/>
      <x:c r="AC310" s="26"/>
      <x:c r="AD310" s="55"/>
    </x:row>
    <x:row r="311">
      <x:c r="A311" s="26"/>
      <x:c r="B311" s="26"/>
      <x:c r="C311" s="35"/>
      <x:c r="D311" s="39"/>
      <x:c r="E311" s="39"/>
      <x:c r="F311" s="26"/>
      <x:c r="G311" s="26"/>
      <x:c r="H311" s="26"/>
      <x:c r="I311" s="26"/>
      <x:c r="J311" s="26"/>
      <x:c r="K311" s="43"/>
      <x:c r="L311" s="48"/>
      <x:c r="M311" s="48"/>
      <x:c r="N311" s="48"/>
      <x:c r="O311" s="48"/>
      <x:c r="P311" s="48"/>
      <x:c r="Q311" s="48"/>
      <x:c r="R311" s="48"/>
      <x:c r="S311" s="48"/>
      <x:c r="T311" s="48"/>
      <x:c r="U311" s="48"/>
      <x:c r="V311" s="48"/>
      <x:c r="W311" s="47" t="str">
        <x:f>IF(OR(J311="",K311="",L311="",M311=""),"",IF(J311="Long",(M311-L311)*K311,(L311-M311)*K311))</x:f>
      </x:c>
      <x:c r="X311" s="47" t="str">
        <x:f>IF(COUNTA(S311:V311)=0,"",SUM(S311:V311))</x:f>
      </x:c>
      <x:c r="Y311" s="47" t="str">
        <x:f>IF(W311="","",W311-IF(X311="",0,X311))</x:f>
      </x:c>
      <x:c r="Z311" s="47" t="str">
        <x:f>IF(OR(K311="",L311="",N311=""),"",ABS(L311-N311)*K311)</x:f>
      </x:c>
      <x:c r="AA311" s="52" t="str">
        <x:f>IFERROR(Y311/Z311,"")</x:f>
      </x:c>
      <x:c r="AB311" s="26"/>
      <x:c r="AC311" s="26"/>
      <x:c r="AD311" s="55"/>
    </x:row>
    <x:row r="312">
      <x:c r="A312" s="26"/>
      <x:c r="B312" s="26"/>
      <x:c r="C312" s="35"/>
      <x:c r="D312" s="39"/>
      <x:c r="E312" s="39"/>
      <x:c r="F312" s="26"/>
      <x:c r="G312" s="26"/>
      <x:c r="H312" s="26"/>
      <x:c r="I312" s="26"/>
      <x:c r="J312" s="26"/>
      <x:c r="K312" s="43"/>
      <x:c r="L312" s="48"/>
      <x:c r="M312" s="48"/>
      <x:c r="N312" s="48"/>
      <x:c r="O312" s="48"/>
      <x:c r="P312" s="48"/>
      <x:c r="Q312" s="48"/>
      <x:c r="R312" s="48"/>
      <x:c r="S312" s="48"/>
      <x:c r="T312" s="48"/>
      <x:c r="U312" s="48"/>
      <x:c r="V312" s="48"/>
      <x:c r="W312" s="47" t="str">
        <x:f>IF(OR(J312="",K312="",L312="",M312=""),"",IF(J312="Long",(M312-L312)*K312,(L312-M312)*K312))</x:f>
      </x:c>
      <x:c r="X312" s="47" t="str">
        <x:f>IF(COUNTA(S312:V312)=0,"",SUM(S312:V312))</x:f>
      </x:c>
      <x:c r="Y312" s="47" t="str">
        <x:f>IF(W312="","",W312-IF(X312="",0,X312))</x:f>
      </x:c>
      <x:c r="Z312" s="47" t="str">
        <x:f>IF(OR(K312="",L312="",N312=""),"",ABS(L312-N312)*K312)</x:f>
      </x:c>
      <x:c r="AA312" s="52" t="str">
        <x:f>IFERROR(Y312/Z312,"")</x:f>
      </x:c>
      <x:c r="AB312" s="26"/>
      <x:c r="AC312" s="26"/>
      <x:c r="AD312" s="55"/>
    </x:row>
    <x:row r="313">
      <x:c r="A313" s="26"/>
      <x:c r="B313" s="26"/>
      <x:c r="C313" s="35"/>
      <x:c r="D313" s="39"/>
      <x:c r="E313" s="39"/>
      <x:c r="F313" s="26"/>
      <x:c r="G313" s="26"/>
      <x:c r="H313" s="26"/>
      <x:c r="I313" s="26"/>
      <x:c r="J313" s="26"/>
      <x:c r="K313" s="43"/>
      <x:c r="L313" s="48"/>
      <x:c r="M313" s="48"/>
      <x:c r="N313" s="48"/>
      <x:c r="O313" s="48"/>
      <x:c r="P313" s="48"/>
      <x:c r="Q313" s="48"/>
      <x:c r="R313" s="48"/>
      <x:c r="S313" s="48"/>
      <x:c r="T313" s="48"/>
      <x:c r="U313" s="48"/>
      <x:c r="V313" s="48"/>
      <x:c r="W313" s="47" t="str">
        <x:f>IF(OR(J313="",K313="",L313="",M313=""),"",IF(J313="Long",(M313-L313)*K313,(L313-M313)*K313))</x:f>
      </x:c>
      <x:c r="X313" s="47" t="str">
        <x:f>IF(COUNTA(S313:V313)=0,"",SUM(S313:V313))</x:f>
      </x:c>
      <x:c r="Y313" s="47" t="str">
        <x:f>IF(W313="","",W313-IF(X313="",0,X313))</x:f>
      </x:c>
      <x:c r="Z313" s="47" t="str">
        <x:f>IF(OR(K313="",L313="",N313=""),"",ABS(L313-N313)*K313)</x:f>
      </x:c>
      <x:c r="AA313" s="52" t="str">
        <x:f>IFERROR(Y313/Z313,"")</x:f>
      </x:c>
      <x:c r="AB313" s="26"/>
      <x:c r="AC313" s="26"/>
      <x:c r="AD313" s="55"/>
    </x:row>
    <x:row r="314">
      <x:c r="A314" s="26"/>
      <x:c r="B314" s="26"/>
      <x:c r="C314" s="35"/>
      <x:c r="D314" s="39"/>
      <x:c r="E314" s="39"/>
      <x:c r="F314" s="26"/>
      <x:c r="G314" s="26"/>
      <x:c r="H314" s="26"/>
      <x:c r="I314" s="26"/>
      <x:c r="J314" s="26"/>
      <x:c r="K314" s="43"/>
      <x:c r="L314" s="48"/>
      <x:c r="M314" s="48"/>
      <x:c r="N314" s="48"/>
      <x:c r="O314" s="48"/>
      <x:c r="P314" s="48"/>
      <x:c r="Q314" s="48"/>
      <x:c r="R314" s="48"/>
      <x:c r="S314" s="48"/>
      <x:c r="T314" s="48"/>
      <x:c r="U314" s="48"/>
      <x:c r="V314" s="48"/>
      <x:c r="W314" s="47" t="str">
        <x:f>IF(OR(J314="",K314="",L314="",M314=""),"",IF(J314="Long",(M314-L314)*K314,(L314-M314)*K314))</x:f>
      </x:c>
      <x:c r="X314" s="47" t="str">
        <x:f>IF(COUNTA(S314:V314)=0,"",SUM(S314:V314))</x:f>
      </x:c>
      <x:c r="Y314" s="47" t="str">
        <x:f>IF(W314="","",W314-IF(X314="",0,X314))</x:f>
      </x:c>
      <x:c r="Z314" s="47" t="str">
        <x:f>IF(OR(K314="",L314="",N314=""),"",ABS(L314-N314)*K314)</x:f>
      </x:c>
      <x:c r="AA314" s="52" t="str">
        <x:f>IFERROR(Y314/Z314,"")</x:f>
      </x:c>
      <x:c r="AB314" s="26"/>
      <x:c r="AC314" s="26"/>
      <x:c r="AD314" s="55"/>
    </x:row>
    <x:row r="315">
      <x:c r="A315" s="26"/>
      <x:c r="B315" s="26"/>
      <x:c r="C315" s="35"/>
      <x:c r="D315" s="39"/>
      <x:c r="E315" s="39"/>
      <x:c r="F315" s="26"/>
      <x:c r="G315" s="26"/>
      <x:c r="H315" s="26"/>
      <x:c r="I315" s="26"/>
      <x:c r="J315" s="26"/>
      <x:c r="K315" s="43"/>
      <x:c r="L315" s="48"/>
      <x:c r="M315" s="48"/>
      <x:c r="N315" s="48"/>
      <x:c r="O315" s="48"/>
      <x:c r="P315" s="48"/>
      <x:c r="Q315" s="48"/>
      <x:c r="R315" s="48"/>
      <x:c r="S315" s="48"/>
      <x:c r="T315" s="48"/>
      <x:c r="U315" s="48"/>
      <x:c r="V315" s="48"/>
      <x:c r="W315" s="47" t="str">
        <x:f>IF(OR(J315="",K315="",L315="",M315=""),"",IF(J315="Long",(M315-L315)*K315,(L315-M315)*K315))</x:f>
      </x:c>
      <x:c r="X315" s="47" t="str">
        <x:f>IF(COUNTA(S315:V315)=0,"",SUM(S315:V315))</x:f>
      </x:c>
      <x:c r="Y315" s="47" t="str">
        <x:f>IF(W315="","",W315-IF(X315="",0,X315))</x:f>
      </x:c>
      <x:c r="Z315" s="47" t="str">
        <x:f>IF(OR(K315="",L315="",N315=""),"",ABS(L315-N315)*K315)</x:f>
      </x:c>
      <x:c r="AA315" s="52" t="str">
        <x:f>IFERROR(Y315/Z315,"")</x:f>
      </x:c>
      <x:c r="AB315" s="26"/>
      <x:c r="AC315" s="26"/>
      <x:c r="AD315" s="55"/>
    </x:row>
    <x:row r="316">
      <x:c r="A316" s="26"/>
      <x:c r="B316" s="26"/>
      <x:c r="C316" s="35"/>
      <x:c r="D316" s="39"/>
      <x:c r="E316" s="39"/>
      <x:c r="F316" s="26"/>
      <x:c r="G316" s="26"/>
      <x:c r="H316" s="26"/>
      <x:c r="I316" s="26"/>
      <x:c r="J316" s="26"/>
      <x:c r="K316" s="43"/>
      <x:c r="L316" s="48"/>
      <x:c r="M316" s="48"/>
      <x:c r="N316" s="48"/>
      <x:c r="O316" s="48"/>
      <x:c r="P316" s="48"/>
      <x:c r="Q316" s="48"/>
      <x:c r="R316" s="48"/>
      <x:c r="S316" s="48"/>
      <x:c r="T316" s="48"/>
      <x:c r="U316" s="48"/>
      <x:c r="V316" s="48"/>
      <x:c r="W316" s="47" t="str">
        <x:f>IF(OR(J316="",K316="",L316="",M316=""),"",IF(J316="Long",(M316-L316)*K316,(L316-M316)*K316))</x:f>
      </x:c>
      <x:c r="X316" s="47" t="str">
        <x:f>IF(COUNTA(S316:V316)=0,"",SUM(S316:V316))</x:f>
      </x:c>
      <x:c r="Y316" s="47" t="str">
        <x:f>IF(W316="","",W316-IF(X316="",0,X316))</x:f>
      </x:c>
      <x:c r="Z316" s="47" t="str">
        <x:f>IF(OR(K316="",L316="",N316=""),"",ABS(L316-N316)*K316)</x:f>
      </x:c>
      <x:c r="AA316" s="52" t="str">
        <x:f>IFERROR(Y316/Z316,"")</x:f>
      </x:c>
      <x:c r="AB316" s="26"/>
      <x:c r="AC316" s="26"/>
      <x:c r="AD316" s="55"/>
    </x:row>
    <x:row r="317">
      <x:c r="A317" s="26"/>
      <x:c r="B317" s="26"/>
      <x:c r="C317" s="35"/>
      <x:c r="D317" s="39"/>
      <x:c r="E317" s="39"/>
      <x:c r="F317" s="26"/>
      <x:c r="G317" s="26"/>
      <x:c r="H317" s="26"/>
      <x:c r="I317" s="26"/>
      <x:c r="J317" s="26"/>
      <x:c r="K317" s="43"/>
      <x:c r="L317" s="48"/>
      <x:c r="M317" s="48"/>
      <x:c r="N317" s="48"/>
      <x:c r="O317" s="48"/>
      <x:c r="P317" s="48"/>
      <x:c r="Q317" s="48"/>
      <x:c r="R317" s="48"/>
      <x:c r="S317" s="48"/>
      <x:c r="T317" s="48"/>
      <x:c r="U317" s="48"/>
      <x:c r="V317" s="48"/>
      <x:c r="W317" s="47" t="str">
        <x:f>IF(OR(J317="",K317="",L317="",M317=""),"",IF(J317="Long",(M317-L317)*K317,(L317-M317)*K317))</x:f>
      </x:c>
      <x:c r="X317" s="47" t="str">
        <x:f>IF(COUNTA(S317:V317)=0,"",SUM(S317:V317))</x:f>
      </x:c>
      <x:c r="Y317" s="47" t="str">
        <x:f>IF(W317="","",W317-IF(X317="",0,X317))</x:f>
      </x:c>
      <x:c r="Z317" s="47" t="str">
        <x:f>IF(OR(K317="",L317="",N317=""),"",ABS(L317-N317)*K317)</x:f>
      </x:c>
      <x:c r="AA317" s="52" t="str">
        <x:f>IFERROR(Y317/Z317,"")</x:f>
      </x:c>
      <x:c r="AB317" s="26"/>
      <x:c r="AC317" s="26"/>
      <x:c r="AD317" s="55"/>
    </x:row>
    <x:row r="318">
      <x:c r="A318" s="26"/>
      <x:c r="B318" s="26"/>
      <x:c r="C318" s="35"/>
      <x:c r="D318" s="39"/>
      <x:c r="E318" s="39"/>
      <x:c r="F318" s="26"/>
      <x:c r="G318" s="26"/>
      <x:c r="H318" s="26"/>
      <x:c r="I318" s="26"/>
      <x:c r="J318" s="26"/>
      <x:c r="K318" s="43"/>
      <x:c r="L318" s="48"/>
      <x:c r="M318" s="48"/>
      <x:c r="N318" s="48"/>
      <x:c r="O318" s="48"/>
      <x:c r="P318" s="48"/>
      <x:c r="Q318" s="48"/>
      <x:c r="R318" s="48"/>
      <x:c r="S318" s="48"/>
      <x:c r="T318" s="48"/>
      <x:c r="U318" s="48"/>
      <x:c r="V318" s="48"/>
      <x:c r="W318" s="47" t="str">
        <x:f>IF(OR(J318="",K318="",L318="",M318=""),"",IF(J318="Long",(M318-L318)*K318,(L318-M318)*K318))</x:f>
      </x:c>
      <x:c r="X318" s="47" t="str">
        <x:f>IF(COUNTA(S318:V318)=0,"",SUM(S318:V318))</x:f>
      </x:c>
      <x:c r="Y318" s="47" t="str">
        <x:f>IF(W318="","",W318-IF(X318="",0,X318))</x:f>
      </x:c>
      <x:c r="Z318" s="47" t="str">
        <x:f>IF(OR(K318="",L318="",N318=""),"",ABS(L318-N318)*K318)</x:f>
      </x:c>
      <x:c r="AA318" s="52" t="str">
        <x:f>IFERROR(Y318/Z318,"")</x:f>
      </x:c>
      <x:c r="AB318" s="26"/>
      <x:c r="AC318" s="26"/>
      <x:c r="AD318" s="55"/>
    </x:row>
    <x:row r="319">
      <x:c r="A319" s="26"/>
      <x:c r="B319" s="26"/>
      <x:c r="C319" s="35"/>
      <x:c r="D319" s="39"/>
      <x:c r="E319" s="39"/>
      <x:c r="F319" s="26"/>
      <x:c r="G319" s="26"/>
      <x:c r="H319" s="26"/>
      <x:c r="I319" s="26"/>
      <x:c r="J319" s="26"/>
      <x:c r="K319" s="43"/>
      <x:c r="L319" s="48"/>
      <x:c r="M319" s="48"/>
      <x:c r="N319" s="48"/>
      <x:c r="O319" s="48"/>
      <x:c r="P319" s="48"/>
      <x:c r="Q319" s="48"/>
      <x:c r="R319" s="48"/>
      <x:c r="S319" s="48"/>
      <x:c r="T319" s="48"/>
      <x:c r="U319" s="48"/>
      <x:c r="V319" s="48"/>
      <x:c r="W319" s="47" t="str">
        <x:f>IF(OR(J319="",K319="",L319="",M319=""),"",IF(J319="Long",(M319-L319)*K319,(L319-M319)*K319))</x:f>
      </x:c>
      <x:c r="X319" s="47" t="str">
        <x:f>IF(COUNTA(S319:V319)=0,"",SUM(S319:V319))</x:f>
      </x:c>
      <x:c r="Y319" s="47" t="str">
        <x:f>IF(W319="","",W319-IF(X319="",0,X319))</x:f>
      </x:c>
      <x:c r="Z319" s="47" t="str">
        <x:f>IF(OR(K319="",L319="",N319=""),"",ABS(L319-N319)*K319)</x:f>
      </x:c>
      <x:c r="AA319" s="52" t="str">
        <x:f>IFERROR(Y319/Z319,"")</x:f>
      </x:c>
      <x:c r="AB319" s="26"/>
      <x:c r="AC319" s="26"/>
      <x:c r="AD319" s="55"/>
    </x:row>
    <x:row r="320">
      <x:c r="A320" s="26"/>
      <x:c r="B320" s="26"/>
      <x:c r="C320" s="35"/>
      <x:c r="D320" s="39"/>
      <x:c r="E320" s="39"/>
      <x:c r="F320" s="26"/>
      <x:c r="G320" s="26"/>
      <x:c r="H320" s="26"/>
      <x:c r="I320" s="26"/>
      <x:c r="J320" s="26"/>
      <x:c r="K320" s="43"/>
      <x:c r="L320" s="48"/>
      <x:c r="M320" s="48"/>
      <x:c r="N320" s="48"/>
      <x:c r="O320" s="48"/>
      <x:c r="P320" s="48"/>
      <x:c r="Q320" s="48"/>
      <x:c r="R320" s="48"/>
      <x:c r="S320" s="48"/>
      <x:c r="T320" s="48"/>
      <x:c r="U320" s="48"/>
      <x:c r="V320" s="48"/>
      <x:c r="W320" s="47" t="str">
        <x:f>IF(OR(J320="",K320="",L320="",M320=""),"",IF(J320="Long",(M320-L320)*K320,(L320-M320)*K320))</x:f>
      </x:c>
      <x:c r="X320" s="47" t="str">
        <x:f>IF(COUNTA(S320:V320)=0,"",SUM(S320:V320))</x:f>
      </x:c>
      <x:c r="Y320" s="47" t="str">
        <x:f>IF(W320="","",W320-IF(X320="",0,X320))</x:f>
      </x:c>
      <x:c r="Z320" s="47" t="str">
        <x:f>IF(OR(K320="",L320="",N320=""),"",ABS(L320-N320)*K320)</x:f>
      </x:c>
      <x:c r="AA320" s="52" t="str">
        <x:f>IFERROR(Y320/Z320,"")</x:f>
      </x:c>
      <x:c r="AB320" s="26"/>
      <x:c r="AC320" s="26"/>
      <x:c r="AD320" s="55"/>
    </x:row>
    <x:row r="321">
      <x:c r="A321" s="26"/>
      <x:c r="B321" s="26"/>
      <x:c r="C321" s="35"/>
      <x:c r="D321" s="39"/>
      <x:c r="E321" s="39"/>
      <x:c r="F321" s="26"/>
      <x:c r="G321" s="26"/>
      <x:c r="H321" s="26"/>
      <x:c r="I321" s="26"/>
      <x:c r="J321" s="26"/>
      <x:c r="K321" s="43"/>
      <x:c r="L321" s="48"/>
      <x:c r="M321" s="48"/>
      <x:c r="N321" s="48"/>
      <x:c r="O321" s="48"/>
      <x:c r="P321" s="48"/>
      <x:c r="Q321" s="48"/>
      <x:c r="R321" s="48"/>
      <x:c r="S321" s="48"/>
      <x:c r="T321" s="48"/>
      <x:c r="U321" s="48"/>
      <x:c r="V321" s="48"/>
      <x:c r="W321" s="47" t="str">
        <x:f>IF(OR(J321="",K321="",L321="",M321=""),"",IF(J321="Long",(M321-L321)*K321,(L321-M321)*K321))</x:f>
      </x:c>
      <x:c r="X321" s="47" t="str">
        <x:f>IF(COUNTA(S321:V321)=0,"",SUM(S321:V321))</x:f>
      </x:c>
      <x:c r="Y321" s="47" t="str">
        <x:f>IF(W321="","",W321-IF(X321="",0,X321))</x:f>
      </x:c>
      <x:c r="Z321" s="47" t="str">
        <x:f>IF(OR(K321="",L321="",N321=""),"",ABS(L321-N321)*K321)</x:f>
      </x:c>
      <x:c r="AA321" s="52" t="str">
        <x:f>IFERROR(Y321/Z321,"")</x:f>
      </x:c>
      <x:c r="AB321" s="26"/>
      <x:c r="AC321" s="26"/>
      <x:c r="AD321" s="55"/>
    </x:row>
    <x:row r="322">
      <x:c r="A322" s="26"/>
      <x:c r="B322" s="26"/>
      <x:c r="C322" s="35"/>
      <x:c r="D322" s="39"/>
      <x:c r="E322" s="39"/>
      <x:c r="F322" s="26"/>
      <x:c r="G322" s="26"/>
      <x:c r="H322" s="26"/>
      <x:c r="I322" s="26"/>
      <x:c r="J322" s="26"/>
      <x:c r="K322" s="43"/>
      <x:c r="L322" s="48"/>
      <x:c r="M322" s="48"/>
      <x:c r="N322" s="48"/>
      <x:c r="O322" s="48"/>
      <x:c r="P322" s="48"/>
      <x:c r="Q322" s="48"/>
      <x:c r="R322" s="48"/>
      <x:c r="S322" s="48"/>
      <x:c r="T322" s="48"/>
      <x:c r="U322" s="48"/>
      <x:c r="V322" s="48"/>
      <x:c r="W322" s="47" t="str">
        <x:f>IF(OR(J322="",K322="",L322="",M322=""),"",IF(J322="Long",(M322-L322)*K322,(L322-M322)*K322))</x:f>
      </x:c>
      <x:c r="X322" s="47" t="str">
        <x:f>IF(COUNTA(S322:V322)=0,"",SUM(S322:V322))</x:f>
      </x:c>
      <x:c r="Y322" s="47" t="str">
        <x:f>IF(W322="","",W322-IF(X322="",0,X322))</x:f>
      </x:c>
      <x:c r="Z322" s="47" t="str">
        <x:f>IF(OR(K322="",L322="",N322=""),"",ABS(L322-N322)*K322)</x:f>
      </x:c>
      <x:c r="AA322" s="52" t="str">
        <x:f>IFERROR(Y322/Z322,"")</x:f>
      </x:c>
      <x:c r="AB322" s="26"/>
      <x:c r="AC322" s="26"/>
      <x:c r="AD322" s="55"/>
    </x:row>
    <x:row r="323">
      <x:c r="A323" s="26"/>
      <x:c r="B323" s="26"/>
      <x:c r="C323" s="35"/>
      <x:c r="D323" s="39"/>
      <x:c r="E323" s="39"/>
      <x:c r="F323" s="26"/>
      <x:c r="G323" s="26"/>
      <x:c r="H323" s="26"/>
      <x:c r="I323" s="26"/>
      <x:c r="J323" s="26"/>
      <x:c r="K323" s="43"/>
      <x:c r="L323" s="48"/>
      <x:c r="M323" s="48"/>
      <x:c r="N323" s="48"/>
      <x:c r="O323" s="48"/>
      <x:c r="P323" s="48"/>
      <x:c r="Q323" s="48"/>
      <x:c r="R323" s="48"/>
      <x:c r="S323" s="48"/>
      <x:c r="T323" s="48"/>
      <x:c r="U323" s="48"/>
      <x:c r="V323" s="48"/>
      <x:c r="W323" s="47" t="str">
        <x:f>IF(OR(J323="",K323="",L323="",M323=""),"",IF(J323="Long",(M323-L323)*K323,(L323-M323)*K323))</x:f>
      </x:c>
      <x:c r="X323" s="47" t="str">
        <x:f>IF(COUNTA(S323:V323)=0,"",SUM(S323:V323))</x:f>
      </x:c>
      <x:c r="Y323" s="47" t="str">
        <x:f>IF(W323="","",W323-IF(X323="",0,X323))</x:f>
      </x:c>
      <x:c r="Z323" s="47" t="str">
        <x:f>IF(OR(K323="",L323="",N323=""),"",ABS(L323-N323)*K323)</x:f>
      </x:c>
      <x:c r="AA323" s="52" t="str">
        <x:f>IFERROR(Y323/Z323,"")</x:f>
      </x:c>
      <x:c r="AB323" s="26"/>
      <x:c r="AC323" s="26"/>
      <x:c r="AD323" s="55"/>
    </x:row>
    <x:row r="324">
      <x:c r="A324" s="26"/>
      <x:c r="B324" s="26"/>
      <x:c r="C324" s="35"/>
      <x:c r="D324" s="39"/>
      <x:c r="E324" s="39"/>
      <x:c r="F324" s="26"/>
      <x:c r="G324" s="26"/>
      <x:c r="H324" s="26"/>
      <x:c r="I324" s="26"/>
      <x:c r="J324" s="26"/>
      <x:c r="K324" s="43"/>
      <x:c r="L324" s="48"/>
      <x:c r="M324" s="48"/>
      <x:c r="N324" s="48"/>
      <x:c r="O324" s="48"/>
      <x:c r="P324" s="48"/>
      <x:c r="Q324" s="48"/>
      <x:c r="R324" s="48"/>
      <x:c r="S324" s="48"/>
      <x:c r="T324" s="48"/>
      <x:c r="U324" s="48"/>
      <x:c r="V324" s="48"/>
      <x:c r="W324" s="47" t="str">
        <x:f>IF(OR(J324="",K324="",L324="",M324=""),"",IF(J324="Long",(M324-L324)*K324,(L324-M324)*K324))</x:f>
      </x:c>
      <x:c r="X324" s="47" t="str">
        <x:f>IF(COUNTA(S324:V324)=0,"",SUM(S324:V324))</x:f>
      </x:c>
      <x:c r="Y324" s="47" t="str">
        <x:f>IF(W324="","",W324-IF(X324="",0,X324))</x:f>
      </x:c>
      <x:c r="Z324" s="47" t="str">
        <x:f>IF(OR(K324="",L324="",N324=""),"",ABS(L324-N324)*K324)</x:f>
      </x:c>
      <x:c r="AA324" s="52" t="str">
        <x:f>IFERROR(Y324/Z324,"")</x:f>
      </x:c>
      <x:c r="AB324" s="26"/>
      <x:c r="AC324" s="26"/>
      <x:c r="AD324" s="55"/>
    </x:row>
    <x:row r="325">
      <x:c r="A325" s="26"/>
      <x:c r="B325" s="26"/>
      <x:c r="C325" s="35"/>
      <x:c r="D325" s="39"/>
      <x:c r="E325" s="39"/>
      <x:c r="F325" s="26"/>
      <x:c r="G325" s="26"/>
      <x:c r="H325" s="26"/>
      <x:c r="I325" s="26"/>
      <x:c r="J325" s="26"/>
      <x:c r="K325" s="43"/>
      <x:c r="L325" s="48"/>
      <x:c r="M325" s="48"/>
      <x:c r="N325" s="48"/>
      <x:c r="O325" s="48"/>
      <x:c r="P325" s="48"/>
      <x:c r="Q325" s="48"/>
      <x:c r="R325" s="48"/>
      <x:c r="S325" s="48"/>
      <x:c r="T325" s="48"/>
      <x:c r="U325" s="48"/>
      <x:c r="V325" s="48"/>
      <x:c r="W325" s="47" t="str">
        <x:f>IF(OR(J325="",K325="",L325="",M325=""),"",IF(J325="Long",(M325-L325)*K325,(L325-M325)*K325))</x:f>
      </x:c>
      <x:c r="X325" s="47" t="str">
        <x:f>IF(COUNTA(S325:V325)=0,"",SUM(S325:V325))</x:f>
      </x:c>
      <x:c r="Y325" s="47" t="str">
        <x:f>IF(W325="","",W325-IF(X325="",0,X325))</x:f>
      </x:c>
      <x:c r="Z325" s="47" t="str">
        <x:f>IF(OR(K325="",L325="",N325=""),"",ABS(L325-N325)*K325)</x:f>
      </x:c>
      <x:c r="AA325" s="52" t="str">
        <x:f>IFERROR(Y325/Z325,"")</x:f>
      </x:c>
      <x:c r="AB325" s="26"/>
      <x:c r="AC325" s="26"/>
      <x:c r="AD325" s="55"/>
    </x:row>
    <x:row r="326">
      <x:c r="A326" s="26"/>
      <x:c r="B326" s="26"/>
      <x:c r="C326" s="35"/>
      <x:c r="D326" s="39"/>
      <x:c r="E326" s="39"/>
      <x:c r="F326" s="26"/>
      <x:c r="G326" s="26"/>
      <x:c r="H326" s="26"/>
      <x:c r="I326" s="26"/>
      <x:c r="J326" s="26"/>
      <x:c r="K326" s="43"/>
      <x:c r="L326" s="48"/>
      <x:c r="M326" s="48"/>
      <x:c r="N326" s="48"/>
      <x:c r="O326" s="48"/>
      <x:c r="P326" s="48"/>
      <x:c r="Q326" s="48"/>
      <x:c r="R326" s="48"/>
      <x:c r="S326" s="48"/>
      <x:c r="T326" s="48"/>
      <x:c r="U326" s="48"/>
      <x:c r="V326" s="48"/>
      <x:c r="W326" s="47" t="str">
        <x:f>IF(OR(J326="",K326="",L326="",M326=""),"",IF(J326="Long",(M326-L326)*K326,(L326-M326)*K326))</x:f>
      </x:c>
      <x:c r="X326" s="47" t="str">
        <x:f>IF(COUNTA(S326:V326)=0,"",SUM(S326:V326))</x:f>
      </x:c>
      <x:c r="Y326" s="47" t="str">
        <x:f>IF(W326="","",W326-IF(X326="",0,X326))</x:f>
      </x:c>
      <x:c r="Z326" s="47" t="str">
        <x:f>IF(OR(K326="",L326="",N326=""),"",ABS(L326-N326)*K326)</x:f>
      </x:c>
      <x:c r="AA326" s="52" t="str">
        <x:f>IFERROR(Y326/Z326,"")</x:f>
      </x:c>
      <x:c r="AB326" s="26"/>
      <x:c r="AC326" s="26"/>
      <x:c r="AD326" s="55"/>
    </x:row>
    <x:row r="327">
      <x:c r="A327" s="26"/>
      <x:c r="B327" s="26"/>
      <x:c r="C327" s="35"/>
      <x:c r="D327" s="39"/>
      <x:c r="E327" s="39"/>
      <x:c r="F327" s="26"/>
      <x:c r="G327" s="26"/>
      <x:c r="H327" s="26"/>
      <x:c r="I327" s="26"/>
      <x:c r="J327" s="26"/>
      <x:c r="K327" s="43"/>
      <x:c r="L327" s="48"/>
      <x:c r="M327" s="48"/>
      <x:c r="N327" s="48"/>
      <x:c r="O327" s="48"/>
      <x:c r="P327" s="48"/>
      <x:c r="Q327" s="48"/>
      <x:c r="R327" s="48"/>
      <x:c r="S327" s="48"/>
      <x:c r="T327" s="48"/>
      <x:c r="U327" s="48"/>
      <x:c r="V327" s="48"/>
      <x:c r="W327" s="47" t="str">
        <x:f>IF(OR(J327="",K327="",L327="",M327=""),"",IF(J327="Long",(M327-L327)*K327,(L327-M327)*K327))</x:f>
      </x:c>
      <x:c r="X327" s="47" t="str">
        <x:f>IF(COUNTA(S327:V327)=0,"",SUM(S327:V327))</x:f>
      </x:c>
      <x:c r="Y327" s="47" t="str">
        <x:f>IF(W327="","",W327-IF(X327="",0,X327))</x:f>
      </x:c>
      <x:c r="Z327" s="47" t="str">
        <x:f>IF(OR(K327="",L327="",N327=""),"",ABS(L327-N327)*K327)</x:f>
      </x:c>
      <x:c r="AA327" s="52" t="str">
        <x:f>IFERROR(Y327/Z327,"")</x:f>
      </x:c>
      <x:c r="AB327" s="26"/>
      <x:c r="AC327" s="26"/>
      <x:c r="AD327" s="55"/>
    </x:row>
    <x:row r="328">
      <x:c r="A328" s="26"/>
      <x:c r="B328" s="26"/>
      <x:c r="C328" s="35"/>
      <x:c r="D328" s="39"/>
      <x:c r="E328" s="39"/>
      <x:c r="F328" s="26"/>
      <x:c r="G328" s="26"/>
      <x:c r="H328" s="26"/>
      <x:c r="I328" s="26"/>
      <x:c r="J328" s="26"/>
      <x:c r="K328" s="43"/>
      <x:c r="L328" s="48"/>
      <x:c r="M328" s="48"/>
      <x:c r="N328" s="48"/>
      <x:c r="O328" s="48"/>
      <x:c r="P328" s="48"/>
      <x:c r="Q328" s="48"/>
      <x:c r="R328" s="48"/>
      <x:c r="S328" s="48"/>
      <x:c r="T328" s="48"/>
      <x:c r="U328" s="48"/>
      <x:c r="V328" s="48"/>
      <x:c r="W328" s="47" t="str">
        <x:f>IF(OR(J328="",K328="",L328="",M328=""),"",IF(J328="Long",(M328-L328)*K328,(L328-M328)*K328))</x:f>
      </x:c>
      <x:c r="X328" s="47" t="str">
        <x:f>IF(COUNTA(S328:V328)=0,"",SUM(S328:V328))</x:f>
      </x:c>
      <x:c r="Y328" s="47" t="str">
        <x:f>IF(W328="","",W328-IF(X328="",0,X328))</x:f>
      </x:c>
      <x:c r="Z328" s="47" t="str">
        <x:f>IF(OR(K328="",L328="",N328=""),"",ABS(L328-N328)*K328)</x:f>
      </x:c>
      <x:c r="AA328" s="52" t="str">
        <x:f>IFERROR(Y328/Z328,"")</x:f>
      </x:c>
      <x:c r="AB328" s="26"/>
      <x:c r="AC328" s="26"/>
      <x:c r="AD328" s="55"/>
    </x:row>
    <x:row r="329">
      <x:c r="A329" s="26"/>
      <x:c r="B329" s="26"/>
      <x:c r="C329" s="35"/>
      <x:c r="D329" s="39"/>
      <x:c r="E329" s="39"/>
      <x:c r="F329" s="26"/>
      <x:c r="G329" s="26"/>
      <x:c r="H329" s="26"/>
      <x:c r="I329" s="26"/>
      <x:c r="J329" s="26"/>
      <x:c r="K329" s="43"/>
      <x:c r="L329" s="48"/>
      <x:c r="M329" s="48"/>
      <x:c r="N329" s="48"/>
      <x:c r="O329" s="48"/>
      <x:c r="P329" s="48"/>
      <x:c r="Q329" s="48"/>
      <x:c r="R329" s="48"/>
      <x:c r="S329" s="48"/>
      <x:c r="T329" s="48"/>
      <x:c r="U329" s="48"/>
      <x:c r="V329" s="48"/>
      <x:c r="W329" s="47" t="str">
        <x:f>IF(OR(J329="",K329="",L329="",M329=""),"",IF(J329="Long",(M329-L329)*K329,(L329-M329)*K329))</x:f>
      </x:c>
      <x:c r="X329" s="47" t="str">
        <x:f>IF(COUNTA(S329:V329)=0,"",SUM(S329:V329))</x:f>
      </x:c>
      <x:c r="Y329" s="47" t="str">
        <x:f>IF(W329="","",W329-IF(X329="",0,X329))</x:f>
      </x:c>
      <x:c r="Z329" s="47" t="str">
        <x:f>IF(OR(K329="",L329="",N329=""),"",ABS(L329-N329)*K329)</x:f>
      </x:c>
      <x:c r="AA329" s="52" t="str">
        <x:f>IFERROR(Y329/Z329,"")</x:f>
      </x:c>
      <x:c r="AB329" s="26"/>
      <x:c r="AC329" s="26"/>
      <x:c r="AD329" s="55"/>
    </x:row>
    <x:row r="330">
      <x:c r="A330" s="26"/>
      <x:c r="B330" s="26"/>
      <x:c r="C330" s="35"/>
      <x:c r="D330" s="39"/>
      <x:c r="E330" s="39"/>
      <x:c r="F330" s="26"/>
      <x:c r="G330" s="26"/>
      <x:c r="H330" s="26"/>
      <x:c r="I330" s="26"/>
      <x:c r="J330" s="26"/>
      <x:c r="K330" s="43"/>
      <x:c r="L330" s="48"/>
      <x:c r="M330" s="48"/>
      <x:c r="N330" s="48"/>
      <x:c r="O330" s="48"/>
      <x:c r="P330" s="48"/>
      <x:c r="Q330" s="48"/>
      <x:c r="R330" s="48"/>
      <x:c r="S330" s="48"/>
      <x:c r="T330" s="48"/>
      <x:c r="U330" s="48"/>
      <x:c r="V330" s="48"/>
      <x:c r="W330" s="47" t="str">
        <x:f>IF(OR(J330="",K330="",L330="",M330=""),"",IF(J330="Long",(M330-L330)*K330,(L330-M330)*K330))</x:f>
      </x:c>
      <x:c r="X330" s="47" t="str">
        <x:f>IF(COUNTA(S330:V330)=0,"",SUM(S330:V330))</x:f>
      </x:c>
      <x:c r="Y330" s="47" t="str">
        <x:f>IF(W330="","",W330-IF(X330="",0,X330))</x:f>
      </x:c>
      <x:c r="Z330" s="47" t="str">
        <x:f>IF(OR(K330="",L330="",N330=""),"",ABS(L330-N330)*K330)</x:f>
      </x:c>
      <x:c r="AA330" s="52" t="str">
        <x:f>IFERROR(Y330/Z330,"")</x:f>
      </x:c>
      <x:c r="AB330" s="26"/>
      <x:c r="AC330" s="26"/>
      <x:c r="AD330" s="55"/>
    </x:row>
    <x:row r="331">
      <x:c r="A331" s="26"/>
      <x:c r="B331" s="26"/>
      <x:c r="C331" s="35"/>
      <x:c r="D331" s="39"/>
      <x:c r="E331" s="39"/>
      <x:c r="F331" s="26"/>
      <x:c r="G331" s="26"/>
      <x:c r="H331" s="26"/>
      <x:c r="I331" s="26"/>
      <x:c r="J331" s="26"/>
      <x:c r="K331" s="43"/>
      <x:c r="L331" s="48"/>
      <x:c r="M331" s="48"/>
      <x:c r="N331" s="48"/>
      <x:c r="O331" s="48"/>
      <x:c r="P331" s="48"/>
      <x:c r="Q331" s="48"/>
      <x:c r="R331" s="48"/>
      <x:c r="S331" s="48"/>
      <x:c r="T331" s="48"/>
      <x:c r="U331" s="48"/>
      <x:c r="V331" s="48"/>
      <x:c r="W331" s="47" t="str">
        <x:f>IF(OR(J331="",K331="",L331="",M331=""),"",IF(J331="Long",(M331-L331)*K331,(L331-M331)*K331))</x:f>
      </x:c>
      <x:c r="X331" s="47" t="str">
        <x:f>IF(COUNTA(S331:V331)=0,"",SUM(S331:V331))</x:f>
      </x:c>
      <x:c r="Y331" s="47" t="str">
        <x:f>IF(W331="","",W331-IF(X331="",0,X331))</x:f>
      </x:c>
      <x:c r="Z331" s="47" t="str">
        <x:f>IF(OR(K331="",L331="",N331=""),"",ABS(L331-N331)*K331)</x:f>
      </x:c>
      <x:c r="AA331" s="52" t="str">
        <x:f>IFERROR(Y331/Z331,"")</x:f>
      </x:c>
      <x:c r="AB331" s="26"/>
      <x:c r="AC331" s="26"/>
      <x:c r="AD331" s="55"/>
    </x:row>
    <x:row r="332">
      <x:c r="A332" s="26"/>
      <x:c r="B332" s="26"/>
      <x:c r="C332" s="35"/>
      <x:c r="D332" s="39"/>
      <x:c r="E332" s="39"/>
      <x:c r="F332" s="26"/>
      <x:c r="G332" s="26"/>
      <x:c r="H332" s="26"/>
      <x:c r="I332" s="26"/>
      <x:c r="J332" s="26"/>
      <x:c r="K332" s="43"/>
      <x:c r="L332" s="48"/>
      <x:c r="M332" s="48"/>
      <x:c r="N332" s="48"/>
      <x:c r="O332" s="48"/>
      <x:c r="P332" s="48"/>
      <x:c r="Q332" s="48"/>
      <x:c r="R332" s="48"/>
      <x:c r="S332" s="48"/>
      <x:c r="T332" s="48"/>
      <x:c r="U332" s="48"/>
      <x:c r="V332" s="48"/>
      <x:c r="W332" s="47" t="str">
        <x:f>IF(OR(J332="",K332="",L332="",M332=""),"",IF(J332="Long",(M332-L332)*K332,(L332-M332)*K332))</x:f>
      </x:c>
      <x:c r="X332" s="47" t="str">
        <x:f>IF(COUNTA(S332:V332)=0,"",SUM(S332:V332))</x:f>
      </x:c>
      <x:c r="Y332" s="47" t="str">
        <x:f>IF(W332="","",W332-IF(X332="",0,X332))</x:f>
      </x:c>
      <x:c r="Z332" s="47" t="str">
        <x:f>IF(OR(K332="",L332="",N332=""),"",ABS(L332-N332)*K332)</x:f>
      </x:c>
      <x:c r="AA332" s="52" t="str">
        <x:f>IFERROR(Y332/Z332,"")</x:f>
      </x:c>
      <x:c r="AB332" s="26"/>
      <x:c r="AC332" s="26"/>
      <x:c r="AD332" s="55"/>
    </x:row>
    <x:row r="333">
      <x:c r="A333" s="26"/>
      <x:c r="B333" s="26"/>
      <x:c r="C333" s="35"/>
      <x:c r="D333" s="39"/>
      <x:c r="E333" s="39"/>
      <x:c r="F333" s="26"/>
      <x:c r="G333" s="26"/>
      <x:c r="H333" s="26"/>
      <x:c r="I333" s="26"/>
      <x:c r="J333" s="26"/>
      <x:c r="K333" s="43"/>
      <x:c r="L333" s="48"/>
      <x:c r="M333" s="48"/>
      <x:c r="N333" s="48"/>
      <x:c r="O333" s="48"/>
      <x:c r="P333" s="48"/>
      <x:c r="Q333" s="48"/>
      <x:c r="R333" s="48"/>
      <x:c r="S333" s="48"/>
      <x:c r="T333" s="48"/>
      <x:c r="U333" s="48"/>
      <x:c r="V333" s="48"/>
      <x:c r="W333" s="47" t="str">
        <x:f>IF(OR(J333="",K333="",L333="",M333=""),"",IF(J333="Long",(M333-L333)*K333,(L333-M333)*K333))</x:f>
      </x:c>
      <x:c r="X333" s="47" t="str">
        <x:f>IF(COUNTA(S333:V333)=0,"",SUM(S333:V333))</x:f>
      </x:c>
      <x:c r="Y333" s="47" t="str">
        <x:f>IF(W333="","",W333-IF(X333="",0,X333))</x:f>
      </x:c>
      <x:c r="Z333" s="47" t="str">
        <x:f>IF(OR(K333="",L333="",N333=""),"",ABS(L333-N333)*K333)</x:f>
      </x:c>
      <x:c r="AA333" s="52" t="str">
        <x:f>IFERROR(Y333/Z333,"")</x:f>
      </x:c>
      <x:c r="AB333" s="26"/>
      <x:c r="AC333" s="26"/>
      <x:c r="AD333" s="55"/>
    </x:row>
    <x:row r="334">
      <x:c r="A334" s="26"/>
      <x:c r="B334" s="26"/>
      <x:c r="C334" s="35"/>
      <x:c r="D334" s="39"/>
      <x:c r="E334" s="39"/>
      <x:c r="F334" s="26"/>
      <x:c r="G334" s="26"/>
      <x:c r="H334" s="26"/>
      <x:c r="I334" s="26"/>
      <x:c r="J334" s="26"/>
      <x:c r="K334" s="43"/>
      <x:c r="L334" s="48"/>
      <x:c r="M334" s="48"/>
      <x:c r="N334" s="48"/>
      <x:c r="O334" s="48"/>
      <x:c r="P334" s="48"/>
      <x:c r="Q334" s="48"/>
      <x:c r="R334" s="48"/>
      <x:c r="S334" s="48"/>
      <x:c r="T334" s="48"/>
      <x:c r="U334" s="48"/>
      <x:c r="V334" s="48"/>
      <x:c r="W334" s="47" t="str">
        <x:f>IF(OR(J334="",K334="",L334="",M334=""),"",IF(J334="Long",(M334-L334)*K334,(L334-M334)*K334))</x:f>
      </x:c>
      <x:c r="X334" s="47" t="str">
        <x:f>IF(COUNTA(S334:V334)=0,"",SUM(S334:V334))</x:f>
      </x:c>
      <x:c r="Y334" s="47" t="str">
        <x:f>IF(W334="","",W334-IF(X334="",0,X334))</x:f>
      </x:c>
      <x:c r="Z334" s="47" t="str">
        <x:f>IF(OR(K334="",L334="",N334=""),"",ABS(L334-N334)*K334)</x:f>
      </x:c>
      <x:c r="AA334" s="52" t="str">
        <x:f>IFERROR(Y334/Z334,"")</x:f>
      </x:c>
      <x:c r="AB334" s="26"/>
      <x:c r="AC334" s="26"/>
      <x:c r="AD334" s="55"/>
    </x:row>
    <x:row r="335">
      <x:c r="A335" s="26"/>
      <x:c r="B335" s="26"/>
      <x:c r="C335" s="35"/>
      <x:c r="D335" s="39"/>
      <x:c r="E335" s="39"/>
      <x:c r="F335" s="26"/>
      <x:c r="G335" s="26"/>
      <x:c r="H335" s="26"/>
      <x:c r="I335" s="26"/>
      <x:c r="J335" s="26"/>
      <x:c r="K335" s="43"/>
      <x:c r="L335" s="48"/>
      <x:c r="M335" s="48"/>
      <x:c r="N335" s="48"/>
      <x:c r="O335" s="48"/>
      <x:c r="P335" s="48"/>
      <x:c r="Q335" s="48"/>
      <x:c r="R335" s="48"/>
      <x:c r="S335" s="48"/>
      <x:c r="T335" s="48"/>
      <x:c r="U335" s="48"/>
      <x:c r="V335" s="48"/>
      <x:c r="W335" s="47" t="str">
        <x:f>IF(OR(J335="",K335="",L335="",M335=""),"",IF(J335="Long",(M335-L335)*K335,(L335-M335)*K335))</x:f>
      </x:c>
      <x:c r="X335" s="47" t="str">
        <x:f>IF(COUNTA(S335:V335)=0,"",SUM(S335:V335))</x:f>
      </x:c>
      <x:c r="Y335" s="47" t="str">
        <x:f>IF(W335="","",W335-IF(X335="",0,X335))</x:f>
      </x:c>
      <x:c r="Z335" s="47" t="str">
        <x:f>IF(OR(K335="",L335="",N335=""),"",ABS(L335-N335)*K335)</x:f>
      </x:c>
      <x:c r="AA335" s="52" t="str">
        <x:f>IFERROR(Y335/Z335,"")</x:f>
      </x:c>
      <x:c r="AB335" s="26"/>
      <x:c r="AC335" s="26"/>
      <x:c r="AD335" s="55"/>
    </x:row>
    <x:row r="336">
      <x:c r="A336" s="26"/>
      <x:c r="B336" s="26"/>
      <x:c r="C336" s="35"/>
      <x:c r="D336" s="39"/>
      <x:c r="E336" s="39"/>
      <x:c r="F336" s="26"/>
      <x:c r="G336" s="26"/>
      <x:c r="H336" s="26"/>
      <x:c r="I336" s="26"/>
      <x:c r="J336" s="26"/>
      <x:c r="K336" s="43"/>
      <x:c r="L336" s="48"/>
      <x:c r="M336" s="48"/>
      <x:c r="N336" s="48"/>
      <x:c r="O336" s="48"/>
      <x:c r="P336" s="48"/>
      <x:c r="Q336" s="48"/>
      <x:c r="R336" s="48"/>
      <x:c r="S336" s="48"/>
      <x:c r="T336" s="48"/>
      <x:c r="U336" s="48"/>
      <x:c r="V336" s="48"/>
      <x:c r="W336" s="47" t="str">
        <x:f>IF(OR(J336="",K336="",L336="",M336=""),"",IF(J336="Long",(M336-L336)*K336,(L336-M336)*K336))</x:f>
      </x:c>
      <x:c r="X336" s="47" t="str">
        <x:f>IF(COUNTA(S336:V336)=0,"",SUM(S336:V336))</x:f>
      </x:c>
      <x:c r="Y336" s="47" t="str">
        <x:f>IF(W336="","",W336-IF(X336="",0,X336))</x:f>
      </x:c>
      <x:c r="Z336" s="47" t="str">
        <x:f>IF(OR(K336="",L336="",N336=""),"",ABS(L336-N336)*K336)</x:f>
      </x:c>
      <x:c r="AA336" s="52" t="str">
        <x:f>IFERROR(Y336/Z336,"")</x:f>
      </x:c>
      <x:c r="AB336" s="26"/>
      <x:c r="AC336" s="26"/>
      <x:c r="AD336" s="55"/>
    </x:row>
    <x:row r="337">
      <x:c r="A337" s="26"/>
      <x:c r="B337" s="26"/>
      <x:c r="C337" s="35"/>
      <x:c r="D337" s="39"/>
      <x:c r="E337" s="39"/>
      <x:c r="F337" s="26"/>
      <x:c r="G337" s="26"/>
      <x:c r="H337" s="26"/>
      <x:c r="I337" s="26"/>
      <x:c r="J337" s="26"/>
      <x:c r="K337" s="43"/>
      <x:c r="L337" s="48"/>
      <x:c r="M337" s="48"/>
      <x:c r="N337" s="48"/>
      <x:c r="O337" s="48"/>
      <x:c r="P337" s="48"/>
      <x:c r="Q337" s="48"/>
      <x:c r="R337" s="48"/>
      <x:c r="S337" s="48"/>
      <x:c r="T337" s="48"/>
      <x:c r="U337" s="48"/>
      <x:c r="V337" s="48"/>
      <x:c r="W337" s="47" t="str">
        <x:f>IF(OR(J337="",K337="",L337="",M337=""),"",IF(J337="Long",(M337-L337)*K337,(L337-M337)*K337))</x:f>
      </x:c>
      <x:c r="X337" s="47" t="str">
        <x:f>IF(COUNTA(S337:V337)=0,"",SUM(S337:V337))</x:f>
      </x:c>
      <x:c r="Y337" s="47" t="str">
        <x:f>IF(W337="","",W337-IF(X337="",0,X337))</x:f>
      </x:c>
      <x:c r="Z337" s="47" t="str">
        <x:f>IF(OR(K337="",L337="",N337=""),"",ABS(L337-N337)*K337)</x:f>
      </x:c>
      <x:c r="AA337" s="52" t="str">
        <x:f>IFERROR(Y337/Z337,"")</x:f>
      </x:c>
      <x:c r="AB337" s="26"/>
      <x:c r="AC337" s="26"/>
      <x:c r="AD337" s="55"/>
    </x:row>
    <x:row r="338">
      <x:c r="A338" s="26"/>
      <x:c r="B338" s="26"/>
      <x:c r="C338" s="35"/>
      <x:c r="D338" s="39"/>
      <x:c r="E338" s="39"/>
      <x:c r="F338" s="26"/>
      <x:c r="G338" s="26"/>
      <x:c r="H338" s="26"/>
      <x:c r="I338" s="26"/>
      <x:c r="J338" s="26"/>
      <x:c r="K338" s="43"/>
      <x:c r="L338" s="48"/>
      <x:c r="M338" s="48"/>
      <x:c r="N338" s="48"/>
      <x:c r="O338" s="48"/>
      <x:c r="P338" s="48"/>
      <x:c r="Q338" s="48"/>
      <x:c r="R338" s="48"/>
      <x:c r="S338" s="48"/>
      <x:c r="T338" s="48"/>
      <x:c r="U338" s="48"/>
      <x:c r="V338" s="48"/>
      <x:c r="W338" s="47" t="str">
        <x:f>IF(OR(J338="",K338="",L338="",M338=""),"",IF(J338="Long",(M338-L338)*K338,(L338-M338)*K338))</x:f>
      </x:c>
      <x:c r="X338" s="47" t="str">
        <x:f>IF(COUNTA(S338:V338)=0,"",SUM(S338:V338))</x:f>
      </x:c>
      <x:c r="Y338" s="47" t="str">
        <x:f>IF(W338="","",W338-IF(X338="",0,X338))</x:f>
      </x:c>
      <x:c r="Z338" s="47" t="str">
        <x:f>IF(OR(K338="",L338="",N338=""),"",ABS(L338-N338)*K338)</x:f>
      </x:c>
      <x:c r="AA338" s="52" t="str">
        <x:f>IFERROR(Y338/Z338,"")</x:f>
      </x:c>
      <x:c r="AB338" s="26"/>
      <x:c r="AC338" s="26"/>
      <x:c r="AD338" s="55"/>
    </x:row>
    <x:row r="339">
      <x:c r="A339" s="26"/>
      <x:c r="B339" s="26"/>
      <x:c r="C339" s="35"/>
      <x:c r="D339" s="39"/>
      <x:c r="E339" s="39"/>
      <x:c r="F339" s="26"/>
      <x:c r="G339" s="26"/>
      <x:c r="H339" s="26"/>
      <x:c r="I339" s="26"/>
      <x:c r="J339" s="26"/>
      <x:c r="K339" s="43"/>
      <x:c r="L339" s="48"/>
      <x:c r="M339" s="48"/>
      <x:c r="N339" s="48"/>
      <x:c r="O339" s="48"/>
      <x:c r="P339" s="48"/>
      <x:c r="Q339" s="48"/>
      <x:c r="R339" s="48"/>
      <x:c r="S339" s="48"/>
      <x:c r="T339" s="48"/>
      <x:c r="U339" s="48"/>
      <x:c r="V339" s="48"/>
      <x:c r="W339" s="47" t="str">
        <x:f>IF(OR(J339="",K339="",L339="",M339=""),"",IF(J339="Long",(M339-L339)*K339,(L339-M339)*K339))</x:f>
      </x:c>
      <x:c r="X339" s="47" t="str">
        <x:f>IF(COUNTA(S339:V339)=0,"",SUM(S339:V339))</x:f>
      </x:c>
      <x:c r="Y339" s="47" t="str">
        <x:f>IF(W339="","",W339-IF(X339="",0,X339))</x:f>
      </x:c>
      <x:c r="Z339" s="47" t="str">
        <x:f>IF(OR(K339="",L339="",N339=""),"",ABS(L339-N339)*K339)</x:f>
      </x:c>
      <x:c r="AA339" s="52" t="str">
        <x:f>IFERROR(Y339/Z339,"")</x:f>
      </x:c>
      <x:c r="AB339" s="26"/>
      <x:c r="AC339" s="26"/>
      <x:c r="AD339" s="55"/>
    </x:row>
    <x:row r="340">
      <x:c r="A340" s="26"/>
      <x:c r="B340" s="26"/>
      <x:c r="C340" s="35"/>
      <x:c r="D340" s="39"/>
      <x:c r="E340" s="39"/>
      <x:c r="F340" s="26"/>
      <x:c r="G340" s="26"/>
      <x:c r="H340" s="26"/>
      <x:c r="I340" s="26"/>
      <x:c r="J340" s="26"/>
      <x:c r="K340" s="43"/>
      <x:c r="L340" s="48"/>
      <x:c r="M340" s="48"/>
      <x:c r="N340" s="48"/>
      <x:c r="O340" s="48"/>
      <x:c r="P340" s="48"/>
      <x:c r="Q340" s="48"/>
      <x:c r="R340" s="48"/>
      <x:c r="S340" s="48"/>
      <x:c r="T340" s="48"/>
      <x:c r="U340" s="48"/>
      <x:c r="V340" s="48"/>
      <x:c r="W340" s="47" t="str">
        <x:f>IF(OR(J340="",K340="",L340="",M340=""),"",IF(J340="Long",(M340-L340)*K340,(L340-M340)*K340))</x:f>
      </x:c>
      <x:c r="X340" s="47" t="str">
        <x:f>IF(COUNTA(S340:V340)=0,"",SUM(S340:V340))</x:f>
      </x:c>
      <x:c r="Y340" s="47" t="str">
        <x:f>IF(W340="","",W340-IF(X340="",0,X340))</x:f>
      </x:c>
      <x:c r="Z340" s="47" t="str">
        <x:f>IF(OR(K340="",L340="",N340=""),"",ABS(L340-N340)*K340)</x:f>
      </x:c>
      <x:c r="AA340" s="52" t="str">
        <x:f>IFERROR(Y340/Z340,"")</x:f>
      </x:c>
      <x:c r="AB340" s="26"/>
      <x:c r="AC340" s="26"/>
      <x:c r="AD340" s="55"/>
    </x:row>
    <x:row r="341">
      <x:c r="A341" s="26"/>
      <x:c r="B341" s="26"/>
      <x:c r="C341" s="35"/>
      <x:c r="D341" s="39"/>
      <x:c r="E341" s="39"/>
      <x:c r="F341" s="26"/>
      <x:c r="G341" s="26"/>
      <x:c r="H341" s="26"/>
      <x:c r="I341" s="26"/>
      <x:c r="J341" s="26"/>
      <x:c r="K341" s="43"/>
      <x:c r="L341" s="48"/>
      <x:c r="M341" s="48"/>
      <x:c r="N341" s="48"/>
      <x:c r="O341" s="48"/>
      <x:c r="P341" s="48"/>
      <x:c r="Q341" s="48"/>
      <x:c r="R341" s="48"/>
      <x:c r="S341" s="48"/>
      <x:c r="T341" s="48"/>
      <x:c r="U341" s="48"/>
      <x:c r="V341" s="48"/>
      <x:c r="W341" s="47" t="str">
        <x:f>IF(OR(J341="",K341="",L341="",M341=""),"",IF(J341="Long",(M341-L341)*K341,(L341-M341)*K341))</x:f>
      </x:c>
      <x:c r="X341" s="47" t="str">
        <x:f>IF(COUNTA(S341:V341)=0,"",SUM(S341:V341))</x:f>
      </x:c>
      <x:c r="Y341" s="47" t="str">
        <x:f>IF(W341="","",W341-IF(X341="",0,X341))</x:f>
      </x:c>
      <x:c r="Z341" s="47" t="str">
        <x:f>IF(OR(K341="",L341="",N341=""),"",ABS(L341-N341)*K341)</x:f>
      </x:c>
      <x:c r="AA341" s="52" t="str">
        <x:f>IFERROR(Y341/Z341,"")</x:f>
      </x:c>
      <x:c r="AB341" s="26"/>
      <x:c r="AC341" s="26"/>
      <x:c r="AD341" s="55"/>
    </x:row>
    <x:row r="342">
      <x:c r="A342" s="26"/>
      <x:c r="B342" s="26"/>
      <x:c r="C342" s="35"/>
      <x:c r="D342" s="39"/>
      <x:c r="E342" s="39"/>
      <x:c r="F342" s="26"/>
      <x:c r="G342" s="26"/>
      <x:c r="H342" s="26"/>
      <x:c r="I342" s="26"/>
      <x:c r="J342" s="26"/>
      <x:c r="K342" s="43"/>
      <x:c r="L342" s="48"/>
      <x:c r="M342" s="48"/>
      <x:c r="N342" s="48"/>
      <x:c r="O342" s="48"/>
      <x:c r="P342" s="48"/>
      <x:c r="Q342" s="48"/>
      <x:c r="R342" s="48"/>
      <x:c r="S342" s="48"/>
      <x:c r="T342" s="48"/>
      <x:c r="U342" s="48"/>
      <x:c r="V342" s="48"/>
      <x:c r="W342" s="47" t="str">
        <x:f>IF(OR(J342="",K342="",L342="",M342=""),"",IF(J342="Long",(M342-L342)*K342,(L342-M342)*K342))</x:f>
      </x:c>
      <x:c r="X342" s="47" t="str">
        <x:f>IF(COUNTA(S342:V342)=0,"",SUM(S342:V342))</x:f>
      </x:c>
      <x:c r="Y342" s="47" t="str">
        <x:f>IF(W342="","",W342-IF(X342="",0,X342))</x:f>
      </x:c>
      <x:c r="Z342" s="47" t="str">
        <x:f>IF(OR(K342="",L342="",N342=""),"",ABS(L342-N342)*K342)</x:f>
      </x:c>
      <x:c r="AA342" s="52" t="str">
        <x:f>IFERROR(Y342/Z342,"")</x:f>
      </x:c>
      <x:c r="AB342" s="26"/>
      <x:c r="AC342" s="26"/>
      <x:c r="AD342" s="55"/>
    </x:row>
    <x:row r="343">
      <x:c r="A343" s="26"/>
      <x:c r="B343" s="26"/>
      <x:c r="C343" s="35"/>
      <x:c r="D343" s="39"/>
      <x:c r="E343" s="39"/>
      <x:c r="F343" s="26"/>
      <x:c r="G343" s="26"/>
      <x:c r="H343" s="26"/>
      <x:c r="I343" s="26"/>
      <x:c r="J343" s="26"/>
      <x:c r="K343" s="43"/>
      <x:c r="L343" s="48"/>
      <x:c r="M343" s="48"/>
      <x:c r="N343" s="48"/>
      <x:c r="O343" s="48"/>
      <x:c r="P343" s="48"/>
      <x:c r="Q343" s="48"/>
      <x:c r="R343" s="48"/>
      <x:c r="S343" s="48"/>
      <x:c r="T343" s="48"/>
      <x:c r="U343" s="48"/>
      <x:c r="V343" s="48"/>
      <x:c r="W343" s="47" t="str">
        <x:f>IF(OR(J343="",K343="",L343="",M343=""),"",IF(J343="Long",(M343-L343)*K343,(L343-M343)*K343))</x:f>
      </x:c>
      <x:c r="X343" s="47" t="str">
        <x:f>IF(COUNTA(S343:V343)=0,"",SUM(S343:V343))</x:f>
      </x:c>
      <x:c r="Y343" s="47" t="str">
        <x:f>IF(W343="","",W343-IF(X343="",0,X343))</x:f>
      </x:c>
      <x:c r="Z343" s="47" t="str">
        <x:f>IF(OR(K343="",L343="",N343=""),"",ABS(L343-N343)*K343)</x:f>
      </x:c>
      <x:c r="AA343" s="52" t="str">
        <x:f>IFERROR(Y343/Z343,"")</x:f>
      </x:c>
      <x:c r="AB343" s="26"/>
      <x:c r="AC343" s="26"/>
      <x:c r="AD343" s="55"/>
    </x:row>
    <x:row r="344">
      <x:c r="A344" s="26"/>
      <x:c r="B344" s="26"/>
      <x:c r="C344" s="35"/>
      <x:c r="D344" s="39"/>
      <x:c r="E344" s="39"/>
      <x:c r="F344" s="26"/>
      <x:c r="G344" s="26"/>
      <x:c r="H344" s="26"/>
      <x:c r="I344" s="26"/>
      <x:c r="J344" s="26"/>
      <x:c r="K344" s="43"/>
      <x:c r="L344" s="48"/>
      <x:c r="M344" s="48"/>
      <x:c r="N344" s="48"/>
      <x:c r="O344" s="48"/>
      <x:c r="P344" s="48"/>
      <x:c r="Q344" s="48"/>
      <x:c r="R344" s="48"/>
      <x:c r="S344" s="48"/>
      <x:c r="T344" s="48"/>
      <x:c r="U344" s="48"/>
      <x:c r="V344" s="48"/>
      <x:c r="W344" s="47" t="str">
        <x:f>IF(OR(J344="",K344="",L344="",M344=""),"",IF(J344="Long",(M344-L344)*K344,(L344-M344)*K344))</x:f>
      </x:c>
      <x:c r="X344" s="47" t="str">
        <x:f>IF(COUNTA(S344:V344)=0,"",SUM(S344:V344))</x:f>
      </x:c>
      <x:c r="Y344" s="47" t="str">
        <x:f>IF(W344="","",W344-IF(X344="",0,X344))</x:f>
      </x:c>
      <x:c r="Z344" s="47" t="str">
        <x:f>IF(OR(K344="",L344="",N344=""),"",ABS(L344-N344)*K344)</x:f>
      </x:c>
      <x:c r="AA344" s="52" t="str">
        <x:f>IFERROR(Y344/Z344,"")</x:f>
      </x:c>
      <x:c r="AB344" s="26"/>
      <x:c r="AC344" s="26"/>
      <x:c r="AD344" s="55"/>
    </x:row>
    <x:row r="345">
      <x:c r="A345" s="26"/>
      <x:c r="B345" s="26"/>
      <x:c r="C345" s="35"/>
      <x:c r="D345" s="39"/>
      <x:c r="E345" s="39"/>
      <x:c r="F345" s="26"/>
      <x:c r="G345" s="26"/>
      <x:c r="H345" s="26"/>
      <x:c r="I345" s="26"/>
      <x:c r="J345" s="26"/>
      <x:c r="K345" s="43"/>
      <x:c r="L345" s="48"/>
      <x:c r="M345" s="48"/>
      <x:c r="N345" s="48"/>
      <x:c r="O345" s="48"/>
      <x:c r="P345" s="48"/>
      <x:c r="Q345" s="48"/>
      <x:c r="R345" s="48"/>
      <x:c r="S345" s="48"/>
      <x:c r="T345" s="48"/>
      <x:c r="U345" s="48"/>
      <x:c r="V345" s="48"/>
      <x:c r="W345" s="47" t="str">
        <x:f>IF(OR(J345="",K345="",L345="",M345=""),"",IF(J345="Long",(M345-L345)*K345,(L345-M345)*K345))</x:f>
      </x:c>
      <x:c r="X345" s="47" t="str">
        <x:f>IF(COUNTA(S345:V345)=0,"",SUM(S345:V345))</x:f>
      </x:c>
      <x:c r="Y345" s="47" t="str">
        <x:f>IF(W345="","",W345-IF(X345="",0,X345))</x:f>
      </x:c>
      <x:c r="Z345" s="47" t="str">
        <x:f>IF(OR(K345="",L345="",N345=""),"",ABS(L345-N345)*K345)</x:f>
      </x:c>
      <x:c r="AA345" s="52" t="str">
        <x:f>IFERROR(Y345/Z345,"")</x:f>
      </x:c>
      <x:c r="AB345" s="26"/>
      <x:c r="AC345" s="26"/>
      <x:c r="AD345" s="55"/>
    </x:row>
    <x:row r="346">
      <x:c r="A346" s="26"/>
      <x:c r="B346" s="26"/>
      <x:c r="C346" s="35"/>
      <x:c r="D346" s="39"/>
      <x:c r="E346" s="39"/>
      <x:c r="F346" s="26"/>
      <x:c r="G346" s="26"/>
      <x:c r="H346" s="26"/>
      <x:c r="I346" s="26"/>
      <x:c r="J346" s="26"/>
      <x:c r="K346" s="43"/>
      <x:c r="L346" s="48"/>
      <x:c r="M346" s="48"/>
      <x:c r="N346" s="48"/>
      <x:c r="O346" s="48"/>
      <x:c r="P346" s="48"/>
      <x:c r="Q346" s="48"/>
      <x:c r="R346" s="48"/>
      <x:c r="S346" s="48"/>
      <x:c r="T346" s="48"/>
      <x:c r="U346" s="48"/>
      <x:c r="V346" s="48"/>
      <x:c r="W346" s="47" t="str">
        <x:f>IF(OR(J346="",K346="",L346="",M346=""),"",IF(J346="Long",(M346-L346)*K346,(L346-M346)*K346))</x:f>
      </x:c>
      <x:c r="X346" s="47" t="str">
        <x:f>IF(COUNTA(S346:V346)=0,"",SUM(S346:V346))</x:f>
      </x:c>
      <x:c r="Y346" s="47" t="str">
        <x:f>IF(W346="","",W346-IF(X346="",0,X346))</x:f>
      </x:c>
      <x:c r="Z346" s="47" t="str">
        <x:f>IF(OR(K346="",L346="",N346=""),"",ABS(L346-N346)*K346)</x:f>
      </x:c>
      <x:c r="AA346" s="52" t="str">
        <x:f>IFERROR(Y346/Z346,"")</x:f>
      </x:c>
      <x:c r="AB346" s="26"/>
      <x:c r="AC346" s="26"/>
      <x:c r="AD346" s="55"/>
    </x:row>
    <x:row r="347">
      <x:c r="A347" s="26"/>
      <x:c r="B347" s="26"/>
      <x:c r="C347" s="35"/>
      <x:c r="D347" s="39"/>
      <x:c r="E347" s="39"/>
      <x:c r="F347" s="26"/>
      <x:c r="G347" s="26"/>
      <x:c r="H347" s="26"/>
      <x:c r="I347" s="26"/>
      <x:c r="J347" s="26"/>
      <x:c r="K347" s="43"/>
      <x:c r="L347" s="48"/>
      <x:c r="M347" s="48"/>
      <x:c r="N347" s="48"/>
      <x:c r="O347" s="48"/>
      <x:c r="P347" s="48"/>
      <x:c r="Q347" s="48"/>
      <x:c r="R347" s="48"/>
      <x:c r="S347" s="48"/>
      <x:c r="T347" s="48"/>
      <x:c r="U347" s="48"/>
      <x:c r="V347" s="48"/>
      <x:c r="W347" s="47" t="str">
        <x:f>IF(OR(J347="",K347="",L347="",M347=""),"",IF(J347="Long",(M347-L347)*K347,(L347-M347)*K347))</x:f>
      </x:c>
      <x:c r="X347" s="47" t="str">
        <x:f>IF(COUNTA(S347:V347)=0,"",SUM(S347:V347))</x:f>
      </x:c>
      <x:c r="Y347" s="47" t="str">
        <x:f>IF(W347="","",W347-IF(X347="",0,X347))</x:f>
      </x:c>
      <x:c r="Z347" s="47" t="str">
        <x:f>IF(OR(K347="",L347="",N347=""),"",ABS(L347-N347)*K347)</x:f>
      </x:c>
      <x:c r="AA347" s="52" t="str">
        <x:f>IFERROR(Y347/Z347,"")</x:f>
      </x:c>
      <x:c r="AB347" s="26"/>
      <x:c r="AC347" s="26"/>
      <x:c r="AD347" s="55"/>
    </x:row>
    <x:row r="348">
      <x:c r="A348" s="26"/>
      <x:c r="B348" s="26"/>
      <x:c r="C348" s="35"/>
      <x:c r="D348" s="39"/>
      <x:c r="E348" s="39"/>
      <x:c r="F348" s="26"/>
      <x:c r="G348" s="26"/>
      <x:c r="H348" s="26"/>
      <x:c r="I348" s="26"/>
      <x:c r="J348" s="26"/>
      <x:c r="K348" s="43"/>
      <x:c r="L348" s="48"/>
      <x:c r="M348" s="48"/>
      <x:c r="N348" s="48"/>
      <x:c r="O348" s="48"/>
      <x:c r="P348" s="48"/>
      <x:c r="Q348" s="48"/>
      <x:c r="R348" s="48"/>
      <x:c r="S348" s="48"/>
      <x:c r="T348" s="48"/>
      <x:c r="U348" s="48"/>
      <x:c r="V348" s="48"/>
      <x:c r="W348" s="47" t="str">
        <x:f>IF(OR(J348="",K348="",L348="",M348=""),"",IF(J348="Long",(M348-L348)*K348,(L348-M348)*K348))</x:f>
      </x:c>
      <x:c r="X348" s="47" t="str">
        <x:f>IF(COUNTA(S348:V348)=0,"",SUM(S348:V348))</x:f>
      </x:c>
      <x:c r="Y348" s="47" t="str">
        <x:f>IF(W348="","",W348-IF(X348="",0,X348))</x:f>
      </x:c>
      <x:c r="Z348" s="47" t="str">
        <x:f>IF(OR(K348="",L348="",N348=""),"",ABS(L348-N348)*K348)</x:f>
      </x:c>
      <x:c r="AA348" s="52" t="str">
        <x:f>IFERROR(Y348/Z348,"")</x:f>
      </x:c>
      <x:c r="AB348" s="26"/>
      <x:c r="AC348" s="26"/>
      <x:c r="AD348" s="55"/>
    </x:row>
    <x:row r="349">
      <x:c r="A349" s="26"/>
      <x:c r="B349" s="26"/>
      <x:c r="C349" s="35"/>
      <x:c r="D349" s="39"/>
      <x:c r="E349" s="39"/>
      <x:c r="F349" s="26"/>
      <x:c r="G349" s="26"/>
      <x:c r="H349" s="26"/>
      <x:c r="I349" s="26"/>
      <x:c r="J349" s="26"/>
      <x:c r="K349" s="43"/>
      <x:c r="L349" s="48"/>
      <x:c r="M349" s="48"/>
      <x:c r="N349" s="48"/>
      <x:c r="O349" s="48"/>
      <x:c r="P349" s="48"/>
      <x:c r="Q349" s="48"/>
      <x:c r="R349" s="48"/>
      <x:c r="S349" s="48"/>
      <x:c r="T349" s="48"/>
      <x:c r="U349" s="48"/>
      <x:c r="V349" s="48"/>
      <x:c r="W349" s="47" t="str">
        <x:f>IF(OR(J349="",K349="",L349="",M349=""),"",IF(J349="Long",(M349-L349)*K349,(L349-M349)*K349))</x:f>
      </x:c>
      <x:c r="X349" s="47" t="str">
        <x:f>IF(COUNTA(S349:V349)=0,"",SUM(S349:V349))</x:f>
      </x:c>
      <x:c r="Y349" s="47" t="str">
        <x:f>IF(W349="","",W349-IF(X349="",0,X349))</x:f>
      </x:c>
      <x:c r="Z349" s="47" t="str">
        <x:f>IF(OR(K349="",L349="",N349=""),"",ABS(L349-N349)*K349)</x:f>
      </x:c>
      <x:c r="AA349" s="52" t="str">
        <x:f>IFERROR(Y349/Z349,"")</x:f>
      </x:c>
      <x:c r="AB349" s="26"/>
      <x:c r="AC349" s="26"/>
      <x:c r="AD349" s="55"/>
    </x:row>
    <x:row r="350">
      <x:c r="A350" s="26"/>
      <x:c r="B350" s="26"/>
      <x:c r="C350" s="35"/>
      <x:c r="D350" s="39"/>
      <x:c r="E350" s="39"/>
      <x:c r="F350" s="26"/>
      <x:c r="G350" s="26"/>
      <x:c r="H350" s="26"/>
      <x:c r="I350" s="26"/>
      <x:c r="J350" s="26"/>
      <x:c r="K350" s="43"/>
      <x:c r="L350" s="48"/>
      <x:c r="M350" s="48"/>
      <x:c r="N350" s="48"/>
      <x:c r="O350" s="48"/>
      <x:c r="P350" s="48"/>
      <x:c r="Q350" s="48"/>
      <x:c r="R350" s="48"/>
      <x:c r="S350" s="48"/>
      <x:c r="T350" s="48"/>
      <x:c r="U350" s="48"/>
      <x:c r="V350" s="48"/>
      <x:c r="W350" s="47" t="str">
        <x:f>IF(OR(J350="",K350="",L350="",M350=""),"",IF(J350="Long",(M350-L350)*K350,(L350-M350)*K350))</x:f>
      </x:c>
      <x:c r="X350" s="47" t="str">
        <x:f>IF(COUNTA(S350:V350)=0,"",SUM(S350:V350))</x:f>
      </x:c>
      <x:c r="Y350" s="47" t="str">
        <x:f>IF(W350="","",W350-IF(X350="",0,X350))</x:f>
      </x:c>
      <x:c r="Z350" s="47" t="str">
        <x:f>IF(OR(K350="",L350="",N350=""),"",ABS(L350-N350)*K350)</x:f>
      </x:c>
      <x:c r="AA350" s="52" t="str">
        <x:f>IFERROR(Y350/Z350,"")</x:f>
      </x:c>
      <x:c r="AB350" s="26"/>
      <x:c r="AC350" s="26"/>
      <x:c r="AD350" s="55"/>
    </x:row>
    <x:row r="351">
      <x:c r="A351" s="26"/>
      <x:c r="B351" s="26"/>
      <x:c r="C351" s="35"/>
      <x:c r="D351" s="39"/>
      <x:c r="E351" s="39"/>
      <x:c r="F351" s="26"/>
      <x:c r="G351" s="26"/>
      <x:c r="H351" s="26"/>
      <x:c r="I351" s="26"/>
      <x:c r="J351" s="26"/>
      <x:c r="K351" s="43"/>
      <x:c r="L351" s="48"/>
      <x:c r="M351" s="48"/>
      <x:c r="N351" s="48"/>
      <x:c r="O351" s="48"/>
      <x:c r="P351" s="48"/>
      <x:c r="Q351" s="48"/>
      <x:c r="R351" s="48"/>
      <x:c r="S351" s="48"/>
      <x:c r="T351" s="48"/>
      <x:c r="U351" s="48"/>
      <x:c r="V351" s="48"/>
      <x:c r="W351" s="47" t="str">
        <x:f>IF(OR(J351="",K351="",L351="",M351=""),"",IF(J351="Long",(M351-L351)*K351,(L351-M351)*K351))</x:f>
      </x:c>
      <x:c r="X351" s="47" t="str">
        <x:f>IF(COUNTA(S351:V351)=0,"",SUM(S351:V351))</x:f>
      </x:c>
      <x:c r="Y351" s="47" t="str">
        <x:f>IF(W351="","",W351-IF(X351="",0,X351))</x:f>
      </x:c>
      <x:c r="Z351" s="47" t="str">
        <x:f>IF(OR(K351="",L351="",N351=""),"",ABS(L351-N351)*K351)</x:f>
      </x:c>
      <x:c r="AA351" s="52" t="str">
        <x:f>IFERROR(Y351/Z351,"")</x:f>
      </x:c>
      <x:c r="AB351" s="26"/>
      <x:c r="AC351" s="26"/>
      <x:c r="AD351" s="55"/>
    </x:row>
    <x:row r="352">
      <x:c r="A352" s="26"/>
      <x:c r="B352" s="26"/>
      <x:c r="C352" s="35"/>
      <x:c r="D352" s="39"/>
      <x:c r="E352" s="39"/>
      <x:c r="F352" s="26"/>
      <x:c r="G352" s="26"/>
      <x:c r="H352" s="26"/>
      <x:c r="I352" s="26"/>
      <x:c r="J352" s="26"/>
      <x:c r="K352" s="43"/>
      <x:c r="L352" s="48"/>
      <x:c r="M352" s="48"/>
      <x:c r="N352" s="48"/>
      <x:c r="O352" s="48"/>
      <x:c r="P352" s="48"/>
      <x:c r="Q352" s="48"/>
      <x:c r="R352" s="48"/>
      <x:c r="S352" s="48"/>
      <x:c r="T352" s="48"/>
      <x:c r="U352" s="48"/>
      <x:c r="V352" s="48"/>
      <x:c r="W352" s="47" t="str">
        <x:f>IF(OR(J352="",K352="",L352="",M352=""),"",IF(J352="Long",(M352-L352)*K352,(L352-M352)*K352))</x:f>
      </x:c>
      <x:c r="X352" s="47" t="str">
        <x:f>IF(COUNTA(S352:V352)=0,"",SUM(S352:V352))</x:f>
      </x:c>
      <x:c r="Y352" s="47" t="str">
        <x:f>IF(W352="","",W352-IF(X352="",0,X352))</x:f>
      </x:c>
      <x:c r="Z352" s="47" t="str">
        <x:f>IF(OR(K352="",L352="",N352=""),"",ABS(L352-N352)*K352)</x:f>
      </x:c>
      <x:c r="AA352" s="52" t="str">
        <x:f>IFERROR(Y352/Z352,"")</x:f>
      </x:c>
      <x:c r="AB352" s="26"/>
      <x:c r="AC352" s="26"/>
      <x:c r="AD352" s="55"/>
    </x:row>
    <x:row r="353">
      <x:c r="A353" s="26"/>
      <x:c r="B353" s="26"/>
      <x:c r="C353" s="35"/>
      <x:c r="D353" s="39"/>
      <x:c r="E353" s="39"/>
      <x:c r="F353" s="26"/>
      <x:c r="G353" s="26"/>
      <x:c r="H353" s="26"/>
      <x:c r="I353" s="26"/>
      <x:c r="J353" s="26"/>
      <x:c r="K353" s="43"/>
      <x:c r="L353" s="48"/>
      <x:c r="M353" s="48"/>
      <x:c r="N353" s="48"/>
      <x:c r="O353" s="48"/>
      <x:c r="P353" s="48"/>
      <x:c r="Q353" s="48"/>
      <x:c r="R353" s="48"/>
      <x:c r="S353" s="48"/>
      <x:c r="T353" s="48"/>
      <x:c r="U353" s="48"/>
      <x:c r="V353" s="48"/>
      <x:c r="W353" s="47" t="str">
        <x:f>IF(OR(J353="",K353="",L353="",M353=""),"",IF(J353="Long",(M353-L353)*K353,(L353-M353)*K353))</x:f>
      </x:c>
      <x:c r="X353" s="47" t="str">
        <x:f>IF(COUNTA(S353:V353)=0,"",SUM(S353:V353))</x:f>
      </x:c>
      <x:c r="Y353" s="47" t="str">
        <x:f>IF(W353="","",W353-IF(X353="",0,X353))</x:f>
      </x:c>
      <x:c r="Z353" s="47" t="str">
        <x:f>IF(OR(K353="",L353="",N353=""),"",ABS(L353-N353)*K353)</x:f>
      </x:c>
      <x:c r="AA353" s="52" t="str">
        <x:f>IFERROR(Y353/Z353,"")</x:f>
      </x:c>
      <x:c r="AB353" s="26"/>
      <x:c r="AC353" s="26"/>
      <x:c r="AD353" s="55"/>
    </x:row>
    <x:row r="354">
      <x:c r="A354" s="26"/>
      <x:c r="B354" s="26"/>
      <x:c r="C354" s="35"/>
      <x:c r="D354" s="39"/>
      <x:c r="E354" s="39"/>
      <x:c r="F354" s="26"/>
      <x:c r="G354" s="26"/>
      <x:c r="H354" s="26"/>
      <x:c r="I354" s="26"/>
      <x:c r="J354" s="26"/>
      <x:c r="K354" s="43"/>
      <x:c r="L354" s="48"/>
      <x:c r="M354" s="48"/>
      <x:c r="N354" s="48"/>
      <x:c r="O354" s="48"/>
      <x:c r="P354" s="48"/>
      <x:c r="Q354" s="48"/>
      <x:c r="R354" s="48"/>
      <x:c r="S354" s="48"/>
      <x:c r="T354" s="48"/>
      <x:c r="U354" s="48"/>
      <x:c r="V354" s="48"/>
      <x:c r="W354" s="47" t="str">
        <x:f>IF(OR(J354="",K354="",L354="",M354=""),"",IF(J354="Long",(M354-L354)*K354,(L354-M354)*K354))</x:f>
      </x:c>
      <x:c r="X354" s="47" t="str">
        <x:f>IF(COUNTA(S354:V354)=0,"",SUM(S354:V354))</x:f>
      </x:c>
      <x:c r="Y354" s="47" t="str">
        <x:f>IF(W354="","",W354-IF(X354="",0,X354))</x:f>
      </x:c>
      <x:c r="Z354" s="47" t="str">
        <x:f>IF(OR(K354="",L354="",N354=""),"",ABS(L354-N354)*K354)</x:f>
      </x:c>
      <x:c r="AA354" s="52" t="str">
        <x:f>IFERROR(Y354/Z354,"")</x:f>
      </x:c>
      <x:c r="AB354" s="26"/>
      <x:c r="AC354" s="26"/>
      <x:c r="AD354" s="55"/>
    </x:row>
    <x:row r="355">
      <x:c r="A355" s="26"/>
      <x:c r="B355" s="26"/>
      <x:c r="C355" s="35"/>
      <x:c r="D355" s="39"/>
      <x:c r="E355" s="39"/>
      <x:c r="F355" s="26"/>
      <x:c r="G355" s="26"/>
      <x:c r="H355" s="26"/>
      <x:c r="I355" s="26"/>
      <x:c r="J355" s="26"/>
      <x:c r="K355" s="43"/>
      <x:c r="L355" s="48"/>
      <x:c r="M355" s="48"/>
      <x:c r="N355" s="48"/>
      <x:c r="O355" s="48"/>
      <x:c r="P355" s="48"/>
      <x:c r="Q355" s="48"/>
      <x:c r="R355" s="48"/>
      <x:c r="S355" s="48"/>
      <x:c r="T355" s="48"/>
      <x:c r="U355" s="48"/>
      <x:c r="V355" s="48"/>
      <x:c r="W355" s="47" t="str">
        <x:f>IF(OR(J355="",K355="",L355="",M355=""),"",IF(J355="Long",(M355-L355)*K355,(L355-M355)*K355))</x:f>
      </x:c>
      <x:c r="X355" s="47" t="str">
        <x:f>IF(COUNTA(S355:V355)=0,"",SUM(S355:V355))</x:f>
      </x:c>
      <x:c r="Y355" s="47" t="str">
        <x:f>IF(W355="","",W355-IF(X355="",0,X355))</x:f>
      </x:c>
      <x:c r="Z355" s="47" t="str">
        <x:f>IF(OR(K355="",L355="",N355=""),"",ABS(L355-N355)*K355)</x:f>
      </x:c>
      <x:c r="AA355" s="52" t="str">
        <x:f>IFERROR(Y355/Z355,"")</x:f>
      </x:c>
      <x:c r="AB355" s="26"/>
      <x:c r="AC355" s="26"/>
      <x:c r="AD355" s="55"/>
    </x:row>
    <x:row r="356">
      <x:c r="A356" s="26"/>
      <x:c r="B356" s="26"/>
      <x:c r="C356" s="35"/>
      <x:c r="D356" s="39"/>
      <x:c r="E356" s="39"/>
      <x:c r="F356" s="26"/>
      <x:c r="G356" s="26"/>
      <x:c r="H356" s="26"/>
      <x:c r="I356" s="26"/>
      <x:c r="J356" s="26"/>
      <x:c r="K356" s="43"/>
      <x:c r="L356" s="48"/>
      <x:c r="M356" s="48"/>
      <x:c r="N356" s="48"/>
      <x:c r="O356" s="48"/>
      <x:c r="P356" s="48"/>
      <x:c r="Q356" s="48"/>
      <x:c r="R356" s="48"/>
      <x:c r="S356" s="48"/>
      <x:c r="T356" s="48"/>
      <x:c r="U356" s="48"/>
      <x:c r="V356" s="48"/>
      <x:c r="W356" s="47" t="str">
        <x:f>IF(OR(J356="",K356="",L356="",M356=""),"",IF(J356="Long",(M356-L356)*K356,(L356-M356)*K356))</x:f>
      </x:c>
      <x:c r="X356" s="47" t="str">
        <x:f>IF(COUNTA(S356:V356)=0,"",SUM(S356:V356))</x:f>
      </x:c>
      <x:c r="Y356" s="47" t="str">
        <x:f>IF(W356="","",W356-IF(X356="",0,X356))</x:f>
      </x:c>
      <x:c r="Z356" s="47" t="str">
        <x:f>IF(OR(K356="",L356="",N356=""),"",ABS(L356-N356)*K356)</x:f>
      </x:c>
      <x:c r="AA356" s="52" t="str">
        <x:f>IFERROR(Y356/Z356,"")</x:f>
      </x:c>
      <x:c r="AB356" s="26"/>
      <x:c r="AC356" s="26"/>
      <x:c r="AD356" s="55"/>
    </x:row>
    <x:row r="357">
      <x:c r="A357" s="26"/>
      <x:c r="B357" s="26"/>
      <x:c r="C357" s="35"/>
      <x:c r="D357" s="39"/>
      <x:c r="E357" s="39"/>
      <x:c r="F357" s="26"/>
      <x:c r="G357" s="26"/>
      <x:c r="H357" s="26"/>
      <x:c r="I357" s="26"/>
      <x:c r="J357" s="26"/>
      <x:c r="K357" s="43"/>
      <x:c r="L357" s="48"/>
      <x:c r="M357" s="48"/>
      <x:c r="N357" s="48"/>
      <x:c r="O357" s="48"/>
      <x:c r="P357" s="48"/>
      <x:c r="Q357" s="48"/>
      <x:c r="R357" s="48"/>
      <x:c r="S357" s="48"/>
      <x:c r="T357" s="48"/>
      <x:c r="U357" s="48"/>
      <x:c r="V357" s="48"/>
      <x:c r="W357" s="47" t="str">
        <x:f>IF(OR(J357="",K357="",L357="",M357=""),"",IF(J357="Long",(M357-L357)*K357,(L357-M357)*K357))</x:f>
      </x:c>
      <x:c r="X357" s="47" t="str">
        <x:f>IF(COUNTA(S357:V357)=0,"",SUM(S357:V357))</x:f>
      </x:c>
      <x:c r="Y357" s="47" t="str">
        <x:f>IF(W357="","",W357-IF(X357="",0,X357))</x:f>
      </x:c>
      <x:c r="Z357" s="47" t="str">
        <x:f>IF(OR(K357="",L357="",N357=""),"",ABS(L357-N357)*K357)</x:f>
      </x:c>
      <x:c r="AA357" s="52" t="str">
        <x:f>IFERROR(Y357/Z357,"")</x:f>
      </x:c>
      <x:c r="AB357" s="26"/>
      <x:c r="AC357" s="26"/>
      <x:c r="AD357" s="55"/>
    </x:row>
    <x:row r="358">
      <x:c r="A358" s="26"/>
      <x:c r="B358" s="26"/>
      <x:c r="C358" s="35"/>
      <x:c r="D358" s="39"/>
      <x:c r="E358" s="39"/>
      <x:c r="F358" s="26"/>
      <x:c r="G358" s="26"/>
      <x:c r="H358" s="26"/>
      <x:c r="I358" s="26"/>
      <x:c r="J358" s="26"/>
      <x:c r="K358" s="43"/>
      <x:c r="L358" s="48"/>
      <x:c r="M358" s="48"/>
      <x:c r="N358" s="48"/>
      <x:c r="O358" s="48"/>
      <x:c r="P358" s="48"/>
      <x:c r="Q358" s="48"/>
      <x:c r="R358" s="48"/>
      <x:c r="S358" s="48"/>
      <x:c r="T358" s="48"/>
      <x:c r="U358" s="48"/>
      <x:c r="V358" s="48"/>
      <x:c r="W358" s="47" t="str">
        <x:f>IF(OR(J358="",K358="",L358="",M358=""),"",IF(J358="Long",(M358-L358)*K358,(L358-M358)*K358))</x:f>
      </x:c>
      <x:c r="X358" s="47" t="str">
        <x:f>IF(COUNTA(S358:V358)=0,"",SUM(S358:V358))</x:f>
      </x:c>
      <x:c r="Y358" s="47" t="str">
        <x:f>IF(W358="","",W358-IF(X358="",0,X358))</x:f>
      </x:c>
      <x:c r="Z358" s="47" t="str">
        <x:f>IF(OR(K358="",L358="",N358=""),"",ABS(L358-N358)*K358)</x:f>
      </x:c>
      <x:c r="AA358" s="52" t="str">
        <x:f>IFERROR(Y358/Z358,"")</x:f>
      </x:c>
      <x:c r="AB358" s="26"/>
      <x:c r="AC358" s="26"/>
      <x:c r="AD358" s="55"/>
    </x:row>
    <x:row r="359">
      <x:c r="A359" s="26"/>
      <x:c r="B359" s="26"/>
      <x:c r="C359" s="35"/>
      <x:c r="D359" s="39"/>
      <x:c r="E359" s="39"/>
      <x:c r="F359" s="26"/>
      <x:c r="G359" s="26"/>
      <x:c r="H359" s="26"/>
      <x:c r="I359" s="26"/>
      <x:c r="J359" s="26"/>
      <x:c r="K359" s="43"/>
      <x:c r="L359" s="48"/>
      <x:c r="M359" s="48"/>
      <x:c r="N359" s="48"/>
      <x:c r="O359" s="48"/>
      <x:c r="P359" s="48"/>
      <x:c r="Q359" s="48"/>
      <x:c r="R359" s="48"/>
      <x:c r="S359" s="48"/>
      <x:c r="T359" s="48"/>
      <x:c r="U359" s="48"/>
      <x:c r="V359" s="48"/>
      <x:c r="W359" s="47" t="str">
        <x:f>IF(OR(J359="",K359="",L359="",M359=""),"",IF(J359="Long",(M359-L359)*K359,(L359-M359)*K359))</x:f>
      </x:c>
      <x:c r="X359" s="47" t="str">
        <x:f>IF(COUNTA(S359:V359)=0,"",SUM(S359:V359))</x:f>
      </x:c>
      <x:c r="Y359" s="47" t="str">
        <x:f>IF(W359="","",W359-IF(X359="",0,X359))</x:f>
      </x:c>
      <x:c r="Z359" s="47" t="str">
        <x:f>IF(OR(K359="",L359="",N359=""),"",ABS(L359-N359)*K359)</x:f>
      </x:c>
      <x:c r="AA359" s="52" t="str">
        <x:f>IFERROR(Y359/Z359,"")</x:f>
      </x:c>
      <x:c r="AB359" s="26"/>
      <x:c r="AC359" s="26"/>
      <x:c r="AD359" s="55"/>
    </x:row>
    <x:row r="360">
      <x:c r="A360" s="26"/>
      <x:c r="B360" s="26"/>
      <x:c r="C360" s="35"/>
      <x:c r="D360" s="39"/>
      <x:c r="E360" s="39"/>
      <x:c r="F360" s="26"/>
      <x:c r="G360" s="26"/>
      <x:c r="H360" s="26"/>
      <x:c r="I360" s="26"/>
      <x:c r="J360" s="26"/>
      <x:c r="K360" s="43"/>
      <x:c r="L360" s="48"/>
      <x:c r="M360" s="48"/>
      <x:c r="N360" s="48"/>
      <x:c r="O360" s="48"/>
      <x:c r="P360" s="48"/>
      <x:c r="Q360" s="48"/>
      <x:c r="R360" s="48"/>
      <x:c r="S360" s="48"/>
      <x:c r="T360" s="48"/>
      <x:c r="U360" s="48"/>
      <x:c r="V360" s="48"/>
      <x:c r="W360" s="47" t="str">
        <x:f>IF(OR(J360="",K360="",L360="",M360=""),"",IF(J360="Long",(M360-L360)*K360,(L360-M360)*K360))</x:f>
      </x:c>
      <x:c r="X360" s="47" t="str">
        <x:f>IF(COUNTA(S360:V360)=0,"",SUM(S360:V360))</x:f>
      </x:c>
      <x:c r="Y360" s="47" t="str">
        <x:f>IF(W360="","",W360-IF(X360="",0,X360))</x:f>
      </x:c>
      <x:c r="Z360" s="47" t="str">
        <x:f>IF(OR(K360="",L360="",N360=""),"",ABS(L360-N360)*K360)</x:f>
      </x:c>
      <x:c r="AA360" s="52" t="str">
        <x:f>IFERROR(Y360/Z360,"")</x:f>
      </x:c>
      <x:c r="AB360" s="26"/>
      <x:c r="AC360" s="26"/>
      <x:c r="AD360" s="55"/>
    </x:row>
    <x:row r="361">
      <x:c r="A361" s="26"/>
      <x:c r="B361" s="26"/>
      <x:c r="C361" s="35"/>
      <x:c r="D361" s="39"/>
      <x:c r="E361" s="39"/>
      <x:c r="F361" s="26"/>
      <x:c r="G361" s="26"/>
      <x:c r="H361" s="26"/>
      <x:c r="I361" s="26"/>
      <x:c r="J361" s="26"/>
      <x:c r="K361" s="43"/>
      <x:c r="L361" s="48"/>
      <x:c r="M361" s="48"/>
      <x:c r="N361" s="48"/>
      <x:c r="O361" s="48"/>
      <x:c r="P361" s="48"/>
      <x:c r="Q361" s="48"/>
      <x:c r="R361" s="48"/>
      <x:c r="S361" s="48"/>
      <x:c r="T361" s="48"/>
      <x:c r="U361" s="48"/>
      <x:c r="V361" s="48"/>
      <x:c r="W361" s="47" t="str">
        <x:f>IF(OR(J361="",K361="",L361="",M361=""),"",IF(J361="Long",(M361-L361)*K361,(L361-M361)*K361))</x:f>
      </x:c>
      <x:c r="X361" s="47" t="str">
        <x:f>IF(COUNTA(S361:V361)=0,"",SUM(S361:V361))</x:f>
      </x:c>
      <x:c r="Y361" s="47" t="str">
        <x:f>IF(W361="","",W361-IF(X361="",0,X361))</x:f>
      </x:c>
      <x:c r="Z361" s="47" t="str">
        <x:f>IF(OR(K361="",L361="",N361=""),"",ABS(L361-N361)*K361)</x:f>
      </x:c>
      <x:c r="AA361" s="52" t="str">
        <x:f>IFERROR(Y361/Z361,"")</x:f>
      </x:c>
      <x:c r="AB361" s="26"/>
      <x:c r="AC361" s="26"/>
      <x:c r="AD361" s="55"/>
    </x:row>
    <x:row r="362">
      <x:c r="A362" s="26"/>
      <x:c r="B362" s="26"/>
      <x:c r="C362" s="35"/>
      <x:c r="D362" s="39"/>
      <x:c r="E362" s="39"/>
      <x:c r="F362" s="26"/>
      <x:c r="G362" s="26"/>
      <x:c r="H362" s="26"/>
      <x:c r="I362" s="26"/>
      <x:c r="J362" s="26"/>
      <x:c r="K362" s="43"/>
      <x:c r="L362" s="48"/>
      <x:c r="M362" s="48"/>
      <x:c r="N362" s="48"/>
      <x:c r="O362" s="48"/>
      <x:c r="P362" s="48"/>
      <x:c r="Q362" s="48"/>
      <x:c r="R362" s="48"/>
      <x:c r="S362" s="48"/>
      <x:c r="T362" s="48"/>
      <x:c r="U362" s="48"/>
      <x:c r="V362" s="48"/>
      <x:c r="W362" s="47" t="str">
        <x:f>IF(OR(J362="",K362="",L362="",M362=""),"",IF(J362="Long",(M362-L362)*K362,(L362-M362)*K362))</x:f>
      </x:c>
      <x:c r="X362" s="47" t="str">
        <x:f>IF(COUNTA(S362:V362)=0,"",SUM(S362:V362))</x:f>
      </x:c>
      <x:c r="Y362" s="47" t="str">
        <x:f>IF(W362="","",W362-IF(X362="",0,X362))</x:f>
      </x:c>
      <x:c r="Z362" s="47" t="str">
        <x:f>IF(OR(K362="",L362="",N362=""),"",ABS(L362-N362)*K362)</x:f>
      </x:c>
      <x:c r="AA362" s="52" t="str">
        <x:f>IFERROR(Y362/Z362,"")</x:f>
      </x:c>
      <x:c r="AB362" s="26"/>
      <x:c r="AC362" s="26"/>
      <x:c r="AD362" s="55"/>
    </x:row>
    <x:row r="363">
      <x:c r="A363" s="26"/>
      <x:c r="B363" s="26"/>
      <x:c r="C363" s="35"/>
      <x:c r="D363" s="39"/>
      <x:c r="E363" s="39"/>
      <x:c r="F363" s="26"/>
      <x:c r="G363" s="26"/>
      <x:c r="H363" s="26"/>
      <x:c r="I363" s="26"/>
      <x:c r="J363" s="26"/>
      <x:c r="K363" s="43"/>
      <x:c r="L363" s="48"/>
      <x:c r="M363" s="48"/>
      <x:c r="N363" s="48"/>
      <x:c r="O363" s="48"/>
      <x:c r="P363" s="48"/>
      <x:c r="Q363" s="48"/>
      <x:c r="R363" s="48"/>
      <x:c r="S363" s="48"/>
      <x:c r="T363" s="48"/>
      <x:c r="U363" s="48"/>
      <x:c r="V363" s="48"/>
      <x:c r="W363" s="47" t="str">
        <x:f>IF(OR(J363="",K363="",L363="",M363=""),"",IF(J363="Long",(M363-L363)*K363,(L363-M363)*K363))</x:f>
      </x:c>
      <x:c r="X363" s="47" t="str">
        <x:f>IF(COUNTA(S363:V363)=0,"",SUM(S363:V363))</x:f>
      </x:c>
      <x:c r="Y363" s="47" t="str">
        <x:f>IF(W363="","",W363-IF(X363="",0,X363))</x:f>
      </x:c>
      <x:c r="Z363" s="47" t="str">
        <x:f>IF(OR(K363="",L363="",N363=""),"",ABS(L363-N363)*K363)</x:f>
      </x:c>
      <x:c r="AA363" s="52" t="str">
        <x:f>IFERROR(Y363/Z363,"")</x:f>
      </x:c>
      <x:c r="AB363" s="26"/>
      <x:c r="AC363" s="26"/>
      <x:c r="AD363" s="55"/>
    </x:row>
    <x:row r="364">
      <x:c r="A364" s="26"/>
      <x:c r="B364" s="26"/>
      <x:c r="C364" s="35"/>
      <x:c r="D364" s="39"/>
      <x:c r="E364" s="39"/>
      <x:c r="F364" s="26"/>
      <x:c r="G364" s="26"/>
      <x:c r="H364" s="26"/>
      <x:c r="I364" s="26"/>
      <x:c r="J364" s="26"/>
      <x:c r="K364" s="43"/>
      <x:c r="L364" s="48"/>
      <x:c r="M364" s="48"/>
      <x:c r="N364" s="48"/>
      <x:c r="O364" s="48"/>
      <x:c r="P364" s="48"/>
      <x:c r="Q364" s="48"/>
      <x:c r="R364" s="48"/>
      <x:c r="S364" s="48"/>
      <x:c r="T364" s="48"/>
      <x:c r="U364" s="48"/>
      <x:c r="V364" s="48"/>
      <x:c r="W364" s="47" t="str">
        <x:f>IF(OR(J364="",K364="",L364="",M364=""),"",IF(J364="Long",(M364-L364)*K364,(L364-M364)*K364))</x:f>
      </x:c>
      <x:c r="X364" s="47" t="str">
        <x:f>IF(COUNTA(S364:V364)=0,"",SUM(S364:V364))</x:f>
      </x:c>
      <x:c r="Y364" s="47" t="str">
        <x:f>IF(W364="","",W364-IF(X364="",0,X364))</x:f>
      </x:c>
      <x:c r="Z364" s="47" t="str">
        <x:f>IF(OR(K364="",L364="",N364=""),"",ABS(L364-N364)*K364)</x:f>
      </x:c>
      <x:c r="AA364" s="52" t="str">
        <x:f>IFERROR(Y364/Z364,"")</x:f>
      </x:c>
      <x:c r="AB364" s="26"/>
      <x:c r="AC364" s="26"/>
      <x:c r="AD364" s="55"/>
    </x:row>
    <x:row r="365">
      <x:c r="A365" s="26"/>
      <x:c r="B365" s="26"/>
      <x:c r="C365" s="35"/>
      <x:c r="D365" s="39"/>
      <x:c r="E365" s="39"/>
      <x:c r="F365" s="26"/>
      <x:c r="G365" s="26"/>
      <x:c r="H365" s="26"/>
      <x:c r="I365" s="26"/>
      <x:c r="J365" s="26"/>
      <x:c r="K365" s="43"/>
      <x:c r="L365" s="48"/>
      <x:c r="M365" s="48"/>
      <x:c r="N365" s="48"/>
      <x:c r="O365" s="48"/>
      <x:c r="P365" s="48"/>
      <x:c r="Q365" s="48"/>
      <x:c r="R365" s="48"/>
      <x:c r="S365" s="48"/>
      <x:c r="T365" s="48"/>
      <x:c r="U365" s="48"/>
      <x:c r="V365" s="48"/>
      <x:c r="W365" s="47" t="str">
        <x:f>IF(OR(J365="",K365="",L365="",M365=""),"",IF(J365="Long",(M365-L365)*K365,(L365-M365)*K365))</x:f>
      </x:c>
      <x:c r="X365" s="47" t="str">
        <x:f>IF(COUNTA(S365:V365)=0,"",SUM(S365:V365))</x:f>
      </x:c>
      <x:c r="Y365" s="47" t="str">
        <x:f>IF(W365="","",W365-IF(X365="",0,X365))</x:f>
      </x:c>
      <x:c r="Z365" s="47" t="str">
        <x:f>IF(OR(K365="",L365="",N365=""),"",ABS(L365-N365)*K365)</x:f>
      </x:c>
      <x:c r="AA365" s="52" t="str">
        <x:f>IFERROR(Y365/Z365,"")</x:f>
      </x:c>
      <x:c r="AB365" s="26"/>
      <x:c r="AC365" s="26"/>
      <x:c r="AD365" s="55"/>
    </x:row>
    <x:row r="366">
      <x:c r="A366" s="26"/>
      <x:c r="B366" s="26"/>
      <x:c r="C366" s="35"/>
      <x:c r="D366" s="39"/>
      <x:c r="E366" s="39"/>
      <x:c r="F366" s="26"/>
      <x:c r="G366" s="26"/>
      <x:c r="H366" s="26"/>
      <x:c r="I366" s="26"/>
      <x:c r="J366" s="26"/>
      <x:c r="K366" s="43"/>
      <x:c r="L366" s="48"/>
      <x:c r="M366" s="48"/>
      <x:c r="N366" s="48"/>
      <x:c r="O366" s="48"/>
      <x:c r="P366" s="48"/>
      <x:c r="Q366" s="48"/>
      <x:c r="R366" s="48"/>
      <x:c r="S366" s="48"/>
      <x:c r="T366" s="48"/>
      <x:c r="U366" s="48"/>
      <x:c r="V366" s="48"/>
      <x:c r="W366" s="47" t="str">
        <x:f>IF(OR(J366="",K366="",L366="",M366=""),"",IF(J366="Long",(M366-L366)*K366,(L366-M366)*K366))</x:f>
      </x:c>
      <x:c r="X366" s="47" t="str">
        <x:f>IF(COUNTA(S366:V366)=0,"",SUM(S366:V366))</x:f>
      </x:c>
      <x:c r="Y366" s="47" t="str">
        <x:f>IF(W366="","",W366-IF(X366="",0,X366))</x:f>
      </x:c>
      <x:c r="Z366" s="47" t="str">
        <x:f>IF(OR(K366="",L366="",N366=""),"",ABS(L366-N366)*K366)</x:f>
      </x:c>
      <x:c r="AA366" s="52" t="str">
        <x:f>IFERROR(Y366/Z366,"")</x:f>
      </x:c>
      <x:c r="AB366" s="26"/>
      <x:c r="AC366" s="26"/>
      <x:c r="AD366" s="55"/>
    </x:row>
    <x:row r="367">
      <x:c r="A367" s="26"/>
      <x:c r="B367" s="26"/>
      <x:c r="C367" s="35"/>
      <x:c r="D367" s="39"/>
      <x:c r="E367" s="39"/>
      <x:c r="F367" s="26"/>
      <x:c r="G367" s="26"/>
      <x:c r="H367" s="26"/>
      <x:c r="I367" s="26"/>
      <x:c r="J367" s="26"/>
      <x:c r="K367" s="43"/>
      <x:c r="L367" s="48"/>
      <x:c r="M367" s="48"/>
      <x:c r="N367" s="48"/>
      <x:c r="O367" s="48"/>
      <x:c r="P367" s="48"/>
      <x:c r="Q367" s="48"/>
      <x:c r="R367" s="48"/>
      <x:c r="S367" s="48"/>
      <x:c r="T367" s="48"/>
      <x:c r="U367" s="48"/>
      <x:c r="V367" s="48"/>
      <x:c r="W367" s="47" t="str">
        <x:f>IF(OR(J367="",K367="",L367="",M367=""),"",IF(J367="Long",(M367-L367)*K367,(L367-M367)*K367))</x:f>
      </x:c>
      <x:c r="X367" s="47" t="str">
        <x:f>IF(COUNTA(S367:V367)=0,"",SUM(S367:V367))</x:f>
      </x:c>
      <x:c r="Y367" s="47" t="str">
        <x:f>IF(W367="","",W367-IF(X367="",0,X367))</x:f>
      </x:c>
      <x:c r="Z367" s="47" t="str">
        <x:f>IF(OR(K367="",L367="",N367=""),"",ABS(L367-N367)*K367)</x:f>
      </x:c>
      <x:c r="AA367" s="52" t="str">
        <x:f>IFERROR(Y367/Z367,"")</x:f>
      </x:c>
      <x:c r="AB367" s="26"/>
      <x:c r="AC367" s="26"/>
      <x:c r="AD367" s="55"/>
    </x:row>
    <x:row r="368">
      <x:c r="A368" s="26"/>
      <x:c r="B368" s="26"/>
      <x:c r="C368" s="35"/>
      <x:c r="D368" s="39"/>
      <x:c r="E368" s="39"/>
      <x:c r="F368" s="26"/>
      <x:c r="G368" s="26"/>
      <x:c r="H368" s="26"/>
      <x:c r="I368" s="26"/>
      <x:c r="J368" s="26"/>
      <x:c r="K368" s="43"/>
      <x:c r="L368" s="48"/>
      <x:c r="M368" s="48"/>
      <x:c r="N368" s="48"/>
      <x:c r="O368" s="48"/>
      <x:c r="P368" s="48"/>
      <x:c r="Q368" s="48"/>
      <x:c r="R368" s="48"/>
      <x:c r="S368" s="48"/>
      <x:c r="T368" s="48"/>
      <x:c r="U368" s="48"/>
      <x:c r="V368" s="48"/>
      <x:c r="W368" s="47" t="str">
        <x:f>IF(OR(J368="",K368="",L368="",M368=""),"",IF(J368="Long",(M368-L368)*K368,(L368-M368)*K368))</x:f>
      </x:c>
      <x:c r="X368" s="47" t="str">
        <x:f>IF(COUNTA(S368:V368)=0,"",SUM(S368:V368))</x:f>
      </x:c>
      <x:c r="Y368" s="47" t="str">
        <x:f>IF(W368="","",W368-IF(X368="",0,X368))</x:f>
      </x:c>
      <x:c r="Z368" s="47" t="str">
        <x:f>IF(OR(K368="",L368="",N368=""),"",ABS(L368-N368)*K368)</x:f>
      </x:c>
      <x:c r="AA368" s="52" t="str">
        <x:f>IFERROR(Y368/Z368,"")</x:f>
      </x:c>
      <x:c r="AB368" s="26"/>
      <x:c r="AC368" s="26"/>
      <x:c r="AD368" s="55"/>
    </x:row>
    <x:row r="369">
      <x:c r="A369" s="26"/>
      <x:c r="B369" s="26"/>
      <x:c r="C369" s="35"/>
      <x:c r="D369" s="39"/>
      <x:c r="E369" s="39"/>
      <x:c r="F369" s="26"/>
      <x:c r="G369" s="26"/>
      <x:c r="H369" s="26"/>
      <x:c r="I369" s="26"/>
      <x:c r="J369" s="26"/>
      <x:c r="K369" s="43"/>
      <x:c r="L369" s="48"/>
      <x:c r="M369" s="48"/>
      <x:c r="N369" s="48"/>
      <x:c r="O369" s="48"/>
      <x:c r="P369" s="48"/>
      <x:c r="Q369" s="48"/>
      <x:c r="R369" s="48"/>
      <x:c r="S369" s="48"/>
      <x:c r="T369" s="48"/>
      <x:c r="U369" s="48"/>
      <x:c r="V369" s="48"/>
      <x:c r="W369" s="47" t="str">
        <x:f>IF(OR(J369="",K369="",L369="",M369=""),"",IF(J369="Long",(M369-L369)*K369,(L369-M369)*K369))</x:f>
      </x:c>
      <x:c r="X369" s="47" t="str">
        <x:f>IF(COUNTA(S369:V369)=0,"",SUM(S369:V369))</x:f>
      </x:c>
      <x:c r="Y369" s="47" t="str">
        <x:f>IF(W369="","",W369-IF(X369="",0,X369))</x:f>
      </x:c>
      <x:c r="Z369" s="47" t="str">
        <x:f>IF(OR(K369="",L369="",N369=""),"",ABS(L369-N369)*K369)</x:f>
      </x:c>
      <x:c r="AA369" s="52" t="str">
        <x:f>IFERROR(Y369/Z369,"")</x:f>
      </x:c>
      <x:c r="AB369" s="26"/>
      <x:c r="AC369" s="26"/>
      <x:c r="AD369" s="55"/>
    </x:row>
    <x:row r="370">
      <x:c r="A370" s="26"/>
      <x:c r="B370" s="26"/>
      <x:c r="C370" s="35"/>
      <x:c r="D370" s="39"/>
      <x:c r="E370" s="39"/>
      <x:c r="F370" s="26"/>
      <x:c r="G370" s="26"/>
      <x:c r="H370" s="26"/>
      <x:c r="I370" s="26"/>
      <x:c r="J370" s="26"/>
      <x:c r="K370" s="43"/>
      <x:c r="L370" s="48"/>
      <x:c r="M370" s="48"/>
      <x:c r="N370" s="48"/>
      <x:c r="O370" s="48"/>
      <x:c r="P370" s="48"/>
      <x:c r="Q370" s="48"/>
      <x:c r="R370" s="48"/>
      <x:c r="S370" s="48"/>
      <x:c r="T370" s="48"/>
      <x:c r="U370" s="48"/>
      <x:c r="V370" s="48"/>
      <x:c r="W370" s="47" t="str">
        <x:f>IF(OR(J370="",K370="",L370="",M370=""),"",IF(J370="Long",(M370-L370)*K370,(L370-M370)*K370))</x:f>
      </x:c>
      <x:c r="X370" s="47" t="str">
        <x:f>IF(COUNTA(S370:V370)=0,"",SUM(S370:V370))</x:f>
      </x:c>
      <x:c r="Y370" s="47" t="str">
        <x:f>IF(W370="","",W370-IF(X370="",0,X370))</x:f>
      </x:c>
      <x:c r="Z370" s="47" t="str">
        <x:f>IF(OR(K370="",L370="",N370=""),"",ABS(L370-N370)*K370)</x:f>
      </x:c>
      <x:c r="AA370" s="52" t="str">
        <x:f>IFERROR(Y370/Z370,"")</x:f>
      </x:c>
      <x:c r="AB370" s="26"/>
      <x:c r="AC370" s="26"/>
      <x:c r="AD370" s="55"/>
    </x:row>
    <x:row r="371">
      <x:c r="A371" s="26"/>
      <x:c r="B371" s="26"/>
      <x:c r="C371" s="35"/>
      <x:c r="D371" s="39"/>
      <x:c r="E371" s="39"/>
      <x:c r="F371" s="26"/>
      <x:c r="G371" s="26"/>
      <x:c r="H371" s="26"/>
      <x:c r="I371" s="26"/>
      <x:c r="J371" s="26"/>
      <x:c r="K371" s="43"/>
      <x:c r="L371" s="48"/>
      <x:c r="M371" s="48"/>
      <x:c r="N371" s="48"/>
      <x:c r="O371" s="48"/>
      <x:c r="P371" s="48"/>
      <x:c r="Q371" s="48"/>
      <x:c r="R371" s="48"/>
      <x:c r="S371" s="48"/>
      <x:c r="T371" s="48"/>
      <x:c r="U371" s="48"/>
      <x:c r="V371" s="48"/>
      <x:c r="W371" s="47" t="str">
        <x:f>IF(OR(J371="",K371="",L371="",M371=""),"",IF(J371="Long",(M371-L371)*K371,(L371-M371)*K371))</x:f>
      </x:c>
      <x:c r="X371" s="47" t="str">
        <x:f>IF(COUNTA(S371:V371)=0,"",SUM(S371:V371))</x:f>
      </x:c>
      <x:c r="Y371" s="47" t="str">
        <x:f>IF(W371="","",W371-IF(X371="",0,X371))</x:f>
      </x:c>
      <x:c r="Z371" s="47" t="str">
        <x:f>IF(OR(K371="",L371="",N371=""),"",ABS(L371-N371)*K371)</x:f>
      </x:c>
      <x:c r="AA371" s="52" t="str">
        <x:f>IFERROR(Y371/Z371,"")</x:f>
      </x:c>
      <x:c r="AB371" s="26"/>
      <x:c r="AC371" s="26"/>
      <x:c r="AD371" s="55"/>
    </x:row>
    <x:row r="372">
      <x:c r="A372" s="26"/>
      <x:c r="B372" s="26"/>
      <x:c r="C372" s="35"/>
      <x:c r="D372" s="39"/>
      <x:c r="E372" s="39"/>
      <x:c r="F372" s="26"/>
      <x:c r="G372" s="26"/>
      <x:c r="H372" s="26"/>
      <x:c r="I372" s="26"/>
      <x:c r="J372" s="26"/>
      <x:c r="K372" s="43"/>
      <x:c r="L372" s="48"/>
      <x:c r="M372" s="48"/>
      <x:c r="N372" s="48"/>
      <x:c r="O372" s="48"/>
      <x:c r="P372" s="48"/>
      <x:c r="Q372" s="48"/>
      <x:c r="R372" s="48"/>
      <x:c r="S372" s="48"/>
      <x:c r="T372" s="48"/>
      <x:c r="U372" s="48"/>
      <x:c r="V372" s="48"/>
      <x:c r="W372" s="47" t="str">
        <x:f>IF(OR(J372="",K372="",L372="",M372=""),"",IF(J372="Long",(M372-L372)*K372,(L372-M372)*K372))</x:f>
      </x:c>
      <x:c r="X372" s="47" t="str">
        <x:f>IF(COUNTA(S372:V372)=0,"",SUM(S372:V372))</x:f>
      </x:c>
      <x:c r="Y372" s="47" t="str">
        <x:f>IF(W372="","",W372-IF(X372="",0,X372))</x:f>
      </x:c>
      <x:c r="Z372" s="47" t="str">
        <x:f>IF(OR(K372="",L372="",N372=""),"",ABS(L372-N372)*K372)</x:f>
      </x:c>
      <x:c r="AA372" s="52" t="str">
        <x:f>IFERROR(Y372/Z372,"")</x:f>
      </x:c>
      <x:c r="AB372" s="26"/>
      <x:c r="AC372" s="26"/>
      <x:c r="AD372" s="55"/>
    </x:row>
    <x:row r="373">
      <x:c r="A373" s="26"/>
      <x:c r="B373" s="26"/>
      <x:c r="C373" s="35"/>
      <x:c r="D373" s="39"/>
      <x:c r="E373" s="39"/>
      <x:c r="F373" s="26"/>
      <x:c r="G373" s="26"/>
      <x:c r="H373" s="26"/>
      <x:c r="I373" s="26"/>
      <x:c r="J373" s="26"/>
      <x:c r="K373" s="43"/>
      <x:c r="L373" s="48"/>
      <x:c r="M373" s="48"/>
      <x:c r="N373" s="48"/>
      <x:c r="O373" s="48"/>
      <x:c r="P373" s="48"/>
      <x:c r="Q373" s="48"/>
      <x:c r="R373" s="48"/>
      <x:c r="S373" s="48"/>
      <x:c r="T373" s="48"/>
      <x:c r="U373" s="48"/>
      <x:c r="V373" s="48"/>
      <x:c r="W373" s="47" t="str">
        <x:f>IF(OR(J373="",K373="",L373="",M373=""),"",IF(J373="Long",(M373-L373)*K373,(L373-M373)*K373))</x:f>
      </x:c>
      <x:c r="X373" s="47" t="str">
        <x:f>IF(COUNTA(S373:V373)=0,"",SUM(S373:V373))</x:f>
      </x:c>
      <x:c r="Y373" s="47" t="str">
        <x:f>IF(W373="","",W373-IF(X373="",0,X373))</x:f>
      </x:c>
      <x:c r="Z373" s="47" t="str">
        <x:f>IF(OR(K373="",L373="",N373=""),"",ABS(L373-N373)*K373)</x:f>
      </x:c>
      <x:c r="AA373" s="52" t="str">
        <x:f>IFERROR(Y373/Z373,"")</x:f>
      </x:c>
      <x:c r="AB373" s="26"/>
      <x:c r="AC373" s="26"/>
      <x:c r="AD373" s="55"/>
    </x:row>
    <x:row r="374">
      <x:c r="A374" s="26"/>
      <x:c r="B374" s="26"/>
      <x:c r="C374" s="35"/>
      <x:c r="D374" s="39"/>
      <x:c r="E374" s="39"/>
      <x:c r="F374" s="26"/>
      <x:c r="G374" s="26"/>
      <x:c r="H374" s="26"/>
      <x:c r="I374" s="26"/>
      <x:c r="J374" s="26"/>
      <x:c r="K374" s="43"/>
      <x:c r="L374" s="48"/>
      <x:c r="M374" s="48"/>
      <x:c r="N374" s="48"/>
      <x:c r="O374" s="48"/>
      <x:c r="P374" s="48"/>
      <x:c r="Q374" s="48"/>
      <x:c r="R374" s="48"/>
      <x:c r="S374" s="48"/>
      <x:c r="T374" s="48"/>
      <x:c r="U374" s="48"/>
      <x:c r="V374" s="48"/>
      <x:c r="W374" s="47" t="str">
        <x:f>IF(OR(J374="",K374="",L374="",M374=""),"",IF(J374="Long",(M374-L374)*K374,(L374-M374)*K374))</x:f>
      </x:c>
      <x:c r="X374" s="47" t="str">
        <x:f>IF(COUNTA(S374:V374)=0,"",SUM(S374:V374))</x:f>
      </x:c>
      <x:c r="Y374" s="47" t="str">
        <x:f>IF(W374="","",W374-IF(X374="",0,X374))</x:f>
      </x:c>
      <x:c r="Z374" s="47" t="str">
        <x:f>IF(OR(K374="",L374="",N374=""),"",ABS(L374-N374)*K374)</x:f>
      </x:c>
      <x:c r="AA374" s="52" t="str">
        <x:f>IFERROR(Y374/Z374,"")</x:f>
      </x:c>
      <x:c r="AB374" s="26"/>
      <x:c r="AC374" s="26"/>
      <x:c r="AD374" s="55"/>
    </x:row>
    <x:row r="375">
      <x:c r="A375" s="26"/>
      <x:c r="B375" s="26"/>
      <x:c r="C375" s="35"/>
      <x:c r="D375" s="39"/>
      <x:c r="E375" s="39"/>
      <x:c r="F375" s="26"/>
      <x:c r="G375" s="26"/>
      <x:c r="H375" s="26"/>
      <x:c r="I375" s="26"/>
      <x:c r="J375" s="26"/>
      <x:c r="K375" s="43"/>
      <x:c r="L375" s="48"/>
      <x:c r="M375" s="48"/>
      <x:c r="N375" s="48"/>
      <x:c r="O375" s="48"/>
      <x:c r="P375" s="48"/>
      <x:c r="Q375" s="48"/>
      <x:c r="R375" s="48"/>
      <x:c r="S375" s="48"/>
      <x:c r="T375" s="48"/>
      <x:c r="U375" s="48"/>
      <x:c r="V375" s="48"/>
      <x:c r="W375" s="47" t="str">
        <x:f>IF(OR(J375="",K375="",L375="",M375=""),"",IF(J375="Long",(M375-L375)*K375,(L375-M375)*K375))</x:f>
      </x:c>
      <x:c r="X375" s="47" t="str">
        <x:f>IF(COUNTA(S375:V375)=0,"",SUM(S375:V375))</x:f>
      </x:c>
      <x:c r="Y375" s="47" t="str">
        <x:f>IF(W375="","",W375-IF(X375="",0,X375))</x:f>
      </x:c>
      <x:c r="Z375" s="47" t="str">
        <x:f>IF(OR(K375="",L375="",N375=""),"",ABS(L375-N375)*K375)</x:f>
      </x:c>
      <x:c r="AA375" s="52" t="str">
        <x:f>IFERROR(Y375/Z375,"")</x:f>
      </x:c>
      <x:c r="AB375" s="26"/>
      <x:c r="AC375" s="26"/>
      <x:c r="AD375" s="55"/>
    </x:row>
    <x:row r="376">
      <x:c r="A376" s="26"/>
      <x:c r="B376" s="26"/>
      <x:c r="C376" s="35"/>
      <x:c r="D376" s="39"/>
      <x:c r="E376" s="39"/>
      <x:c r="F376" s="26"/>
      <x:c r="G376" s="26"/>
      <x:c r="H376" s="26"/>
      <x:c r="I376" s="26"/>
      <x:c r="J376" s="26"/>
      <x:c r="K376" s="43"/>
      <x:c r="L376" s="48"/>
      <x:c r="M376" s="48"/>
      <x:c r="N376" s="48"/>
      <x:c r="O376" s="48"/>
      <x:c r="P376" s="48"/>
      <x:c r="Q376" s="48"/>
      <x:c r="R376" s="48"/>
      <x:c r="S376" s="48"/>
      <x:c r="T376" s="48"/>
      <x:c r="U376" s="48"/>
      <x:c r="V376" s="48"/>
      <x:c r="W376" s="47" t="str">
        <x:f>IF(OR(J376="",K376="",L376="",M376=""),"",IF(J376="Long",(M376-L376)*K376,(L376-M376)*K376))</x:f>
      </x:c>
      <x:c r="X376" s="47" t="str">
        <x:f>IF(COUNTA(S376:V376)=0,"",SUM(S376:V376))</x:f>
      </x:c>
      <x:c r="Y376" s="47" t="str">
        <x:f>IF(W376="","",W376-IF(X376="",0,X376))</x:f>
      </x:c>
      <x:c r="Z376" s="47" t="str">
        <x:f>IF(OR(K376="",L376="",N376=""),"",ABS(L376-N376)*K376)</x:f>
      </x:c>
      <x:c r="AA376" s="52" t="str">
        <x:f>IFERROR(Y376/Z376,"")</x:f>
      </x:c>
      <x:c r="AB376" s="26"/>
      <x:c r="AC376" s="26"/>
      <x:c r="AD376" s="55"/>
    </x:row>
    <x:row r="377">
      <x:c r="A377" s="26"/>
      <x:c r="B377" s="26"/>
      <x:c r="C377" s="35"/>
      <x:c r="D377" s="39"/>
      <x:c r="E377" s="39"/>
      <x:c r="F377" s="26"/>
      <x:c r="G377" s="26"/>
      <x:c r="H377" s="26"/>
      <x:c r="I377" s="26"/>
      <x:c r="J377" s="26"/>
      <x:c r="K377" s="43"/>
      <x:c r="L377" s="48"/>
      <x:c r="M377" s="48"/>
      <x:c r="N377" s="48"/>
      <x:c r="O377" s="48"/>
      <x:c r="P377" s="48"/>
      <x:c r="Q377" s="48"/>
      <x:c r="R377" s="48"/>
      <x:c r="S377" s="48"/>
      <x:c r="T377" s="48"/>
      <x:c r="U377" s="48"/>
      <x:c r="V377" s="48"/>
      <x:c r="W377" s="47" t="str">
        <x:f>IF(OR(J377="",K377="",L377="",M377=""),"",IF(J377="Long",(M377-L377)*K377,(L377-M377)*K377))</x:f>
      </x:c>
      <x:c r="X377" s="47" t="str">
        <x:f>IF(COUNTA(S377:V377)=0,"",SUM(S377:V377))</x:f>
      </x:c>
      <x:c r="Y377" s="47" t="str">
        <x:f>IF(W377="","",W377-IF(X377="",0,X377))</x:f>
      </x:c>
      <x:c r="Z377" s="47" t="str">
        <x:f>IF(OR(K377="",L377="",N377=""),"",ABS(L377-N377)*K377)</x:f>
      </x:c>
      <x:c r="AA377" s="52" t="str">
        <x:f>IFERROR(Y377/Z377,"")</x:f>
      </x:c>
      <x:c r="AB377" s="26"/>
      <x:c r="AC377" s="26"/>
      <x:c r="AD377" s="55"/>
    </x:row>
    <x:row r="378">
      <x:c r="A378" s="26"/>
      <x:c r="B378" s="26"/>
      <x:c r="C378" s="35"/>
      <x:c r="D378" s="39"/>
      <x:c r="E378" s="39"/>
      <x:c r="F378" s="26"/>
      <x:c r="G378" s="26"/>
      <x:c r="H378" s="26"/>
      <x:c r="I378" s="26"/>
      <x:c r="J378" s="26"/>
      <x:c r="K378" s="43"/>
      <x:c r="L378" s="48"/>
      <x:c r="M378" s="48"/>
      <x:c r="N378" s="48"/>
      <x:c r="O378" s="48"/>
      <x:c r="P378" s="48"/>
      <x:c r="Q378" s="48"/>
      <x:c r="R378" s="48"/>
      <x:c r="S378" s="48"/>
      <x:c r="T378" s="48"/>
      <x:c r="U378" s="48"/>
      <x:c r="V378" s="48"/>
      <x:c r="W378" s="47" t="str">
        <x:f>IF(OR(J378="",K378="",L378="",M378=""),"",IF(J378="Long",(M378-L378)*K378,(L378-M378)*K378))</x:f>
      </x:c>
      <x:c r="X378" s="47" t="str">
        <x:f>IF(COUNTA(S378:V378)=0,"",SUM(S378:V378))</x:f>
      </x:c>
      <x:c r="Y378" s="47" t="str">
        <x:f>IF(W378="","",W378-IF(X378="",0,X378))</x:f>
      </x:c>
      <x:c r="Z378" s="47" t="str">
        <x:f>IF(OR(K378="",L378="",N378=""),"",ABS(L378-N378)*K378)</x:f>
      </x:c>
      <x:c r="AA378" s="52" t="str">
        <x:f>IFERROR(Y378/Z378,"")</x:f>
      </x:c>
      <x:c r="AB378" s="26"/>
      <x:c r="AC378" s="26"/>
      <x:c r="AD378" s="55"/>
    </x:row>
    <x:row r="379">
      <x:c r="A379" s="26"/>
      <x:c r="B379" s="26"/>
      <x:c r="C379" s="35"/>
      <x:c r="D379" s="39"/>
      <x:c r="E379" s="39"/>
      <x:c r="F379" s="26"/>
      <x:c r="G379" s="26"/>
      <x:c r="H379" s="26"/>
      <x:c r="I379" s="26"/>
      <x:c r="J379" s="26"/>
      <x:c r="K379" s="43"/>
      <x:c r="L379" s="48"/>
      <x:c r="M379" s="48"/>
      <x:c r="N379" s="48"/>
      <x:c r="O379" s="48"/>
      <x:c r="P379" s="48"/>
      <x:c r="Q379" s="48"/>
      <x:c r="R379" s="48"/>
      <x:c r="S379" s="48"/>
      <x:c r="T379" s="48"/>
      <x:c r="U379" s="48"/>
      <x:c r="V379" s="48"/>
      <x:c r="W379" s="47" t="str">
        <x:f>IF(OR(J379="",K379="",L379="",M379=""),"",IF(J379="Long",(M379-L379)*K379,(L379-M379)*K379))</x:f>
      </x:c>
      <x:c r="X379" s="47" t="str">
        <x:f>IF(COUNTA(S379:V379)=0,"",SUM(S379:V379))</x:f>
      </x:c>
      <x:c r="Y379" s="47" t="str">
        <x:f>IF(W379="","",W379-IF(X379="",0,X379))</x:f>
      </x:c>
      <x:c r="Z379" s="47" t="str">
        <x:f>IF(OR(K379="",L379="",N379=""),"",ABS(L379-N379)*K379)</x:f>
      </x:c>
      <x:c r="AA379" s="52" t="str">
        <x:f>IFERROR(Y379/Z379,"")</x:f>
      </x:c>
      <x:c r="AB379" s="26"/>
      <x:c r="AC379" s="26"/>
      <x:c r="AD379" s="55"/>
    </x:row>
    <x:row r="380">
      <x:c r="A380" s="26"/>
      <x:c r="B380" s="26"/>
      <x:c r="C380" s="35"/>
      <x:c r="D380" s="39"/>
      <x:c r="E380" s="39"/>
      <x:c r="F380" s="26"/>
      <x:c r="G380" s="26"/>
      <x:c r="H380" s="26"/>
      <x:c r="I380" s="26"/>
      <x:c r="J380" s="26"/>
      <x:c r="K380" s="43"/>
      <x:c r="L380" s="48"/>
      <x:c r="M380" s="48"/>
      <x:c r="N380" s="48"/>
      <x:c r="O380" s="48"/>
      <x:c r="P380" s="48"/>
      <x:c r="Q380" s="48"/>
      <x:c r="R380" s="48"/>
      <x:c r="S380" s="48"/>
      <x:c r="T380" s="48"/>
      <x:c r="U380" s="48"/>
      <x:c r="V380" s="48"/>
      <x:c r="W380" s="47" t="str">
        <x:f>IF(OR(J380="",K380="",L380="",M380=""),"",IF(J380="Long",(M380-L380)*K380,(L380-M380)*K380))</x:f>
      </x:c>
      <x:c r="X380" s="47" t="str">
        <x:f>IF(COUNTA(S380:V380)=0,"",SUM(S380:V380))</x:f>
      </x:c>
      <x:c r="Y380" s="47" t="str">
        <x:f>IF(W380="","",W380-IF(X380="",0,X380))</x:f>
      </x:c>
      <x:c r="Z380" s="47" t="str">
        <x:f>IF(OR(K380="",L380="",N380=""),"",ABS(L380-N380)*K380)</x:f>
      </x:c>
      <x:c r="AA380" s="52" t="str">
        <x:f>IFERROR(Y380/Z380,"")</x:f>
      </x:c>
      <x:c r="AB380" s="26"/>
      <x:c r="AC380" s="26"/>
      <x:c r="AD380" s="55"/>
    </x:row>
    <x:row r="381">
      <x:c r="A381" s="26"/>
      <x:c r="B381" s="26"/>
      <x:c r="C381" s="35"/>
      <x:c r="D381" s="39"/>
      <x:c r="E381" s="39"/>
      <x:c r="F381" s="26"/>
      <x:c r="G381" s="26"/>
      <x:c r="H381" s="26"/>
      <x:c r="I381" s="26"/>
      <x:c r="J381" s="26"/>
      <x:c r="K381" s="43"/>
      <x:c r="L381" s="48"/>
      <x:c r="M381" s="48"/>
      <x:c r="N381" s="48"/>
      <x:c r="O381" s="48"/>
      <x:c r="P381" s="48"/>
      <x:c r="Q381" s="48"/>
      <x:c r="R381" s="48"/>
      <x:c r="S381" s="48"/>
      <x:c r="T381" s="48"/>
      <x:c r="U381" s="48"/>
      <x:c r="V381" s="48"/>
      <x:c r="W381" s="47" t="str">
        <x:f>IF(OR(J381="",K381="",L381="",M381=""),"",IF(J381="Long",(M381-L381)*K381,(L381-M381)*K381))</x:f>
      </x:c>
      <x:c r="X381" s="47" t="str">
        <x:f>IF(COUNTA(S381:V381)=0,"",SUM(S381:V381))</x:f>
      </x:c>
      <x:c r="Y381" s="47" t="str">
        <x:f>IF(W381="","",W381-IF(X381="",0,X381))</x:f>
      </x:c>
      <x:c r="Z381" s="47" t="str">
        <x:f>IF(OR(K381="",L381="",N381=""),"",ABS(L381-N381)*K381)</x:f>
      </x:c>
      <x:c r="AA381" s="52" t="str">
        <x:f>IFERROR(Y381/Z381,"")</x:f>
      </x:c>
      <x:c r="AB381" s="26"/>
      <x:c r="AC381" s="26"/>
      <x:c r="AD381" s="55"/>
    </x:row>
    <x:row r="382">
      <x:c r="A382" s="26"/>
      <x:c r="B382" s="26"/>
      <x:c r="C382" s="35"/>
      <x:c r="D382" s="39"/>
      <x:c r="E382" s="39"/>
      <x:c r="F382" s="26"/>
      <x:c r="G382" s="26"/>
      <x:c r="H382" s="26"/>
      <x:c r="I382" s="26"/>
      <x:c r="J382" s="26"/>
      <x:c r="K382" s="43"/>
      <x:c r="L382" s="48"/>
      <x:c r="M382" s="48"/>
      <x:c r="N382" s="48"/>
      <x:c r="O382" s="48"/>
      <x:c r="P382" s="48"/>
      <x:c r="Q382" s="48"/>
      <x:c r="R382" s="48"/>
      <x:c r="S382" s="48"/>
      <x:c r="T382" s="48"/>
      <x:c r="U382" s="48"/>
      <x:c r="V382" s="48"/>
      <x:c r="W382" s="47" t="str">
        <x:f>IF(OR(J382="",K382="",L382="",M382=""),"",IF(J382="Long",(M382-L382)*K382,(L382-M382)*K382))</x:f>
      </x:c>
      <x:c r="X382" s="47" t="str">
        <x:f>IF(COUNTA(S382:V382)=0,"",SUM(S382:V382))</x:f>
      </x:c>
      <x:c r="Y382" s="47" t="str">
        <x:f>IF(W382="","",W382-IF(X382="",0,X382))</x:f>
      </x:c>
      <x:c r="Z382" s="47" t="str">
        <x:f>IF(OR(K382="",L382="",N382=""),"",ABS(L382-N382)*K382)</x:f>
      </x:c>
      <x:c r="AA382" s="52" t="str">
        <x:f>IFERROR(Y382/Z382,"")</x:f>
      </x:c>
      <x:c r="AB382" s="26"/>
      <x:c r="AC382" s="26"/>
      <x:c r="AD382" s="55"/>
    </x:row>
    <x:row r="383">
      <x:c r="A383" s="26"/>
      <x:c r="B383" s="26"/>
      <x:c r="C383" s="35"/>
      <x:c r="D383" s="39"/>
      <x:c r="E383" s="39"/>
      <x:c r="F383" s="26"/>
      <x:c r="G383" s="26"/>
      <x:c r="H383" s="26"/>
      <x:c r="I383" s="26"/>
      <x:c r="J383" s="26"/>
      <x:c r="K383" s="43"/>
      <x:c r="L383" s="48"/>
      <x:c r="M383" s="48"/>
      <x:c r="N383" s="48"/>
      <x:c r="O383" s="48"/>
      <x:c r="P383" s="48"/>
      <x:c r="Q383" s="48"/>
      <x:c r="R383" s="48"/>
      <x:c r="S383" s="48"/>
      <x:c r="T383" s="48"/>
      <x:c r="U383" s="48"/>
      <x:c r="V383" s="48"/>
      <x:c r="W383" s="47" t="str">
        <x:f>IF(OR(J383="",K383="",L383="",M383=""),"",IF(J383="Long",(M383-L383)*K383,(L383-M383)*K383))</x:f>
      </x:c>
      <x:c r="X383" s="47" t="str">
        <x:f>IF(COUNTA(S383:V383)=0,"",SUM(S383:V383))</x:f>
      </x:c>
      <x:c r="Y383" s="47" t="str">
        <x:f>IF(W383="","",W383-IF(X383="",0,X383))</x:f>
      </x:c>
      <x:c r="Z383" s="47" t="str">
        <x:f>IF(OR(K383="",L383="",N383=""),"",ABS(L383-N383)*K383)</x:f>
      </x:c>
      <x:c r="AA383" s="52" t="str">
        <x:f>IFERROR(Y383/Z383,"")</x:f>
      </x:c>
      <x:c r="AB383" s="26"/>
      <x:c r="AC383" s="26"/>
      <x:c r="AD383" s="55"/>
    </x:row>
    <x:row r="384">
      <x:c r="A384" s="26"/>
      <x:c r="B384" s="26"/>
      <x:c r="C384" s="35"/>
      <x:c r="D384" s="39"/>
      <x:c r="E384" s="39"/>
      <x:c r="F384" s="26"/>
      <x:c r="G384" s="26"/>
      <x:c r="H384" s="26"/>
      <x:c r="I384" s="26"/>
      <x:c r="J384" s="26"/>
      <x:c r="K384" s="43"/>
      <x:c r="L384" s="48"/>
      <x:c r="M384" s="48"/>
      <x:c r="N384" s="48"/>
      <x:c r="O384" s="48"/>
      <x:c r="P384" s="48"/>
      <x:c r="Q384" s="48"/>
      <x:c r="R384" s="48"/>
      <x:c r="S384" s="48"/>
      <x:c r="T384" s="48"/>
      <x:c r="U384" s="48"/>
      <x:c r="V384" s="48"/>
      <x:c r="W384" s="47" t="str">
        <x:f>IF(OR(J384="",K384="",L384="",M384=""),"",IF(J384="Long",(M384-L384)*K384,(L384-M384)*K384))</x:f>
      </x:c>
      <x:c r="X384" s="47" t="str">
        <x:f>IF(COUNTA(S384:V384)=0,"",SUM(S384:V384))</x:f>
      </x:c>
      <x:c r="Y384" s="47" t="str">
        <x:f>IF(W384="","",W384-IF(X384="",0,X384))</x:f>
      </x:c>
      <x:c r="Z384" s="47" t="str">
        <x:f>IF(OR(K384="",L384="",N384=""),"",ABS(L384-N384)*K384)</x:f>
      </x:c>
      <x:c r="AA384" s="52" t="str">
        <x:f>IFERROR(Y384/Z384,"")</x:f>
      </x:c>
      <x:c r="AB384" s="26"/>
      <x:c r="AC384" s="26"/>
      <x:c r="AD384" s="55"/>
    </x:row>
    <x:row r="385">
      <x:c r="A385" s="26"/>
      <x:c r="B385" s="26"/>
      <x:c r="C385" s="35"/>
      <x:c r="D385" s="39"/>
      <x:c r="E385" s="39"/>
      <x:c r="F385" s="26"/>
      <x:c r="G385" s="26"/>
      <x:c r="H385" s="26"/>
      <x:c r="I385" s="26"/>
      <x:c r="J385" s="26"/>
      <x:c r="K385" s="43"/>
      <x:c r="L385" s="48"/>
      <x:c r="M385" s="48"/>
      <x:c r="N385" s="48"/>
      <x:c r="O385" s="48"/>
      <x:c r="P385" s="48"/>
      <x:c r="Q385" s="48"/>
      <x:c r="R385" s="48"/>
      <x:c r="S385" s="48"/>
      <x:c r="T385" s="48"/>
      <x:c r="U385" s="48"/>
      <x:c r="V385" s="48"/>
      <x:c r="W385" s="47" t="str">
        <x:f>IF(OR(J385="",K385="",L385="",M385=""),"",IF(J385="Long",(M385-L385)*K385,(L385-M385)*K385))</x:f>
      </x:c>
      <x:c r="X385" s="47" t="str">
        <x:f>IF(COUNTA(S385:V385)=0,"",SUM(S385:V385))</x:f>
      </x:c>
      <x:c r="Y385" s="47" t="str">
        <x:f>IF(W385="","",W385-IF(X385="",0,X385))</x:f>
      </x:c>
      <x:c r="Z385" s="47" t="str">
        <x:f>IF(OR(K385="",L385="",N385=""),"",ABS(L385-N385)*K385)</x:f>
      </x:c>
      <x:c r="AA385" s="52" t="str">
        <x:f>IFERROR(Y385/Z385,"")</x:f>
      </x:c>
      <x:c r="AB385" s="26"/>
      <x:c r="AC385" s="26"/>
      <x:c r="AD385" s="55"/>
    </x:row>
    <x:row r="386">
      <x:c r="A386" s="26"/>
      <x:c r="B386" s="26"/>
      <x:c r="C386" s="35"/>
      <x:c r="D386" s="39"/>
      <x:c r="E386" s="39"/>
      <x:c r="F386" s="26"/>
      <x:c r="G386" s="26"/>
      <x:c r="H386" s="26"/>
      <x:c r="I386" s="26"/>
      <x:c r="J386" s="26"/>
      <x:c r="K386" s="43"/>
      <x:c r="L386" s="48"/>
      <x:c r="M386" s="48"/>
      <x:c r="N386" s="48"/>
      <x:c r="O386" s="48"/>
      <x:c r="P386" s="48"/>
      <x:c r="Q386" s="48"/>
      <x:c r="R386" s="48"/>
      <x:c r="S386" s="48"/>
      <x:c r="T386" s="48"/>
      <x:c r="U386" s="48"/>
      <x:c r="V386" s="48"/>
      <x:c r="W386" s="47" t="str">
        <x:f>IF(OR(J386="",K386="",L386="",M386=""),"",IF(J386="Long",(M386-L386)*K386,(L386-M386)*K386))</x:f>
      </x:c>
      <x:c r="X386" s="47" t="str">
        <x:f>IF(COUNTA(S386:V386)=0,"",SUM(S386:V386))</x:f>
      </x:c>
      <x:c r="Y386" s="47" t="str">
        <x:f>IF(W386="","",W386-IF(X386="",0,X386))</x:f>
      </x:c>
      <x:c r="Z386" s="47" t="str">
        <x:f>IF(OR(K386="",L386="",N386=""),"",ABS(L386-N386)*K386)</x:f>
      </x:c>
      <x:c r="AA386" s="52" t="str">
        <x:f>IFERROR(Y386/Z386,"")</x:f>
      </x:c>
      <x:c r="AB386" s="26"/>
      <x:c r="AC386" s="26"/>
      <x:c r="AD386" s="55"/>
    </x:row>
    <x:row r="387">
      <x:c r="A387" s="26"/>
      <x:c r="B387" s="26"/>
      <x:c r="C387" s="35"/>
      <x:c r="D387" s="39"/>
      <x:c r="E387" s="39"/>
      <x:c r="F387" s="26"/>
      <x:c r="G387" s="26"/>
      <x:c r="H387" s="26"/>
      <x:c r="I387" s="26"/>
      <x:c r="J387" s="26"/>
      <x:c r="K387" s="43"/>
      <x:c r="L387" s="48"/>
      <x:c r="M387" s="48"/>
      <x:c r="N387" s="48"/>
      <x:c r="O387" s="48"/>
      <x:c r="P387" s="48"/>
      <x:c r="Q387" s="48"/>
      <x:c r="R387" s="48"/>
      <x:c r="S387" s="48"/>
      <x:c r="T387" s="48"/>
      <x:c r="U387" s="48"/>
      <x:c r="V387" s="48"/>
      <x:c r="W387" s="47" t="str">
        <x:f>IF(OR(J387="",K387="",L387="",M387=""),"",IF(J387="Long",(M387-L387)*K387,(L387-M387)*K387))</x:f>
      </x:c>
      <x:c r="X387" s="47" t="str">
        <x:f>IF(COUNTA(S387:V387)=0,"",SUM(S387:V387))</x:f>
      </x:c>
      <x:c r="Y387" s="47" t="str">
        <x:f>IF(W387="","",W387-IF(X387="",0,X387))</x:f>
      </x:c>
      <x:c r="Z387" s="47" t="str">
        <x:f>IF(OR(K387="",L387="",N387=""),"",ABS(L387-N387)*K387)</x:f>
      </x:c>
      <x:c r="AA387" s="52" t="str">
        <x:f>IFERROR(Y387/Z387,"")</x:f>
      </x:c>
      <x:c r="AB387" s="26"/>
      <x:c r="AC387" s="26"/>
      <x:c r="AD387" s="55"/>
    </x:row>
    <x:row r="388">
      <x:c r="A388" s="26"/>
      <x:c r="B388" s="26"/>
      <x:c r="C388" s="35"/>
      <x:c r="D388" s="39"/>
      <x:c r="E388" s="39"/>
      <x:c r="F388" s="26"/>
      <x:c r="G388" s="26"/>
      <x:c r="H388" s="26"/>
      <x:c r="I388" s="26"/>
      <x:c r="J388" s="26"/>
      <x:c r="K388" s="43"/>
      <x:c r="L388" s="48"/>
      <x:c r="M388" s="48"/>
      <x:c r="N388" s="48"/>
      <x:c r="O388" s="48"/>
      <x:c r="P388" s="48"/>
      <x:c r="Q388" s="48"/>
      <x:c r="R388" s="48"/>
      <x:c r="S388" s="48"/>
      <x:c r="T388" s="48"/>
      <x:c r="U388" s="48"/>
      <x:c r="V388" s="48"/>
      <x:c r="W388" s="47" t="str">
        <x:f>IF(OR(J388="",K388="",L388="",M388=""),"",IF(J388="Long",(M388-L388)*K388,(L388-M388)*K388))</x:f>
      </x:c>
      <x:c r="X388" s="47" t="str">
        <x:f>IF(COUNTA(S388:V388)=0,"",SUM(S388:V388))</x:f>
      </x:c>
      <x:c r="Y388" s="47" t="str">
        <x:f>IF(W388="","",W388-IF(X388="",0,X388))</x:f>
      </x:c>
      <x:c r="Z388" s="47" t="str">
        <x:f>IF(OR(K388="",L388="",N388=""),"",ABS(L388-N388)*K388)</x:f>
      </x:c>
      <x:c r="AA388" s="52" t="str">
        <x:f>IFERROR(Y388/Z388,"")</x:f>
      </x:c>
      <x:c r="AB388" s="26"/>
      <x:c r="AC388" s="26"/>
      <x:c r="AD388" s="55"/>
    </x:row>
    <x:row r="389">
      <x:c r="A389" s="26"/>
      <x:c r="B389" s="26"/>
      <x:c r="C389" s="35"/>
      <x:c r="D389" s="39"/>
      <x:c r="E389" s="39"/>
      <x:c r="F389" s="26"/>
      <x:c r="G389" s="26"/>
      <x:c r="H389" s="26"/>
      <x:c r="I389" s="26"/>
      <x:c r="J389" s="26"/>
      <x:c r="K389" s="43"/>
      <x:c r="L389" s="48"/>
      <x:c r="M389" s="48"/>
      <x:c r="N389" s="48"/>
      <x:c r="O389" s="48"/>
      <x:c r="P389" s="48"/>
      <x:c r="Q389" s="48"/>
      <x:c r="R389" s="48"/>
      <x:c r="S389" s="48"/>
      <x:c r="T389" s="48"/>
      <x:c r="U389" s="48"/>
      <x:c r="V389" s="48"/>
      <x:c r="W389" s="47" t="str">
        <x:f>IF(OR(J389="",K389="",L389="",M389=""),"",IF(J389="Long",(M389-L389)*K389,(L389-M389)*K389))</x:f>
      </x:c>
      <x:c r="X389" s="47" t="str">
        <x:f>IF(COUNTA(S389:V389)=0,"",SUM(S389:V389))</x:f>
      </x:c>
      <x:c r="Y389" s="47" t="str">
        <x:f>IF(W389="","",W389-IF(X389="",0,X389))</x:f>
      </x:c>
      <x:c r="Z389" s="47" t="str">
        <x:f>IF(OR(K389="",L389="",N389=""),"",ABS(L389-N389)*K389)</x:f>
      </x:c>
      <x:c r="AA389" s="52" t="str">
        <x:f>IFERROR(Y389/Z389,"")</x:f>
      </x:c>
      <x:c r="AB389" s="26"/>
      <x:c r="AC389" s="26"/>
      <x:c r="AD389" s="55"/>
    </x:row>
    <x:row r="390">
      <x:c r="A390" s="26"/>
      <x:c r="B390" s="26"/>
      <x:c r="C390" s="35"/>
      <x:c r="D390" s="39"/>
      <x:c r="E390" s="39"/>
      <x:c r="F390" s="26"/>
      <x:c r="G390" s="26"/>
      <x:c r="H390" s="26"/>
      <x:c r="I390" s="26"/>
      <x:c r="J390" s="26"/>
      <x:c r="K390" s="43"/>
      <x:c r="L390" s="48"/>
      <x:c r="M390" s="48"/>
      <x:c r="N390" s="48"/>
      <x:c r="O390" s="48"/>
      <x:c r="P390" s="48"/>
      <x:c r="Q390" s="48"/>
      <x:c r="R390" s="48"/>
      <x:c r="S390" s="48"/>
      <x:c r="T390" s="48"/>
      <x:c r="U390" s="48"/>
      <x:c r="V390" s="48"/>
      <x:c r="W390" s="47" t="str">
        <x:f>IF(OR(J390="",K390="",L390="",M390=""),"",IF(J390="Long",(M390-L390)*K390,(L390-M390)*K390))</x:f>
      </x:c>
      <x:c r="X390" s="47" t="str">
        <x:f>IF(COUNTA(S390:V390)=0,"",SUM(S390:V390))</x:f>
      </x:c>
      <x:c r="Y390" s="47" t="str">
        <x:f>IF(W390="","",W390-IF(X390="",0,X390))</x:f>
      </x:c>
      <x:c r="Z390" s="47" t="str">
        <x:f>IF(OR(K390="",L390="",N390=""),"",ABS(L390-N390)*K390)</x:f>
      </x:c>
      <x:c r="AA390" s="52" t="str">
        <x:f>IFERROR(Y390/Z390,"")</x:f>
      </x:c>
      <x:c r="AB390" s="26"/>
      <x:c r="AC390" s="26"/>
      <x:c r="AD390" s="55"/>
    </x:row>
    <x:row r="391">
      <x:c r="A391" s="26"/>
      <x:c r="B391" s="26"/>
      <x:c r="C391" s="35"/>
      <x:c r="D391" s="39"/>
      <x:c r="E391" s="39"/>
      <x:c r="F391" s="26"/>
      <x:c r="G391" s="26"/>
      <x:c r="H391" s="26"/>
      <x:c r="I391" s="26"/>
      <x:c r="J391" s="26"/>
      <x:c r="K391" s="43"/>
      <x:c r="L391" s="48"/>
      <x:c r="M391" s="48"/>
      <x:c r="N391" s="48"/>
      <x:c r="O391" s="48"/>
      <x:c r="P391" s="48"/>
      <x:c r="Q391" s="48"/>
      <x:c r="R391" s="48"/>
      <x:c r="S391" s="48"/>
      <x:c r="T391" s="48"/>
      <x:c r="U391" s="48"/>
      <x:c r="V391" s="48"/>
      <x:c r="W391" s="47" t="str">
        <x:f>IF(OR(J391="",K391="",L391="",M391=""),"",IF(J391="Long",(M391-L391)*K391,(L391-M391)*K391))</x:f>
      </x:c>
      <x:c r="X391" s="47" t="str">
        <x:f>IF(COUNTA(S391:V391)=0,"",SUM(S391:V391))</x:f>
      </x:c>
      <x:c r="Y391" s="47" t="str">
        <x:f>IF(W391="","",W391-IF(X391="",0,X391))</x:f>
      </x:c>
      <x:c r="Z391" s="47" t="str">
        <x:f>IF(OR(K391="",L391="",N391=""),"",ABS(L391-N391)*K391)</x:f>
      </x:c>
      <x:c r="AA391" s="52" t="str">
        <x:f>IFERROR(Y391/Z391,"")</x:f>
      </x:c>
      <x:c r="AB391" s="26"/>
      <x:c r="AC391" s="26"/>
      <x:c r="AD391" s="55"/>
    </x:row>
    <x:row r="392">
      <x:c r="A392" s="26"/>
      <x:c r="B392" s="26"/>
      <x:c r="C392" s="35"/>
      <x:c r="D392" s="39"/>
      <x:c r="E392" s="39"/>
      <x:c r="F392" s="26"/>
      <x:c r="G392" s="26"/>
      <x:c r="H392" s="26"/>
      <x:c r="I392" s="26"/>
      <x:c r="J392" s="26"/>
      <x:c r="K392" s="43"/>
      <x:c r="L392" s="48"/>
      <x:c r="M392" s="48"/>
      <x:c r="N392" s="48"/>
      <x:c r="O392" s="48"/>
      <x:c r="P392" s="48"/>
      <x:c r="Q392" s="48"/>
      <x:c r="R392" s="48"/>
      <x:c r="S392" s="48"/>
      <x:c r="T392" s="48"/>
      <x:c r="U392" s="48"/>
      <x:c r="V392" s="48"/>
      <x:c r="W392" s="47" t="str">
        <x:f>IF(OR(J392="",K392="",L392="",M392=""),"",IF(J392="Long",(M392-L392)*K392,(L392-M392)*K392))</x:f>
      </x:c>
      <x:c r="X392" s="47" t="str">
        <x:f>IF(COUNTA(S392:V392)=0,"",SUM(S392:V392))</x:f>
      </x:c>
      <x:c r="Y392" s="47" t="str">
        <x:f>IF(W392="","",W392-IF(X392="",0,X392))</x:f>
      </x:c>
      <x:c r="Z392" s="47" t="str">
        <x:f>IF(OR(K392="",L392="",N392=""),"",ABS(L392-N392)*K392)</x:f>
      </x:c>
      <x:c r="AA392" s="52" t="str">
        <x:f>IFERROR(Y392/Z392,"")</x:f>
      </x:c>
      <x:c r="AB392" s="26"/>
      <x:c r="AC392" s="26"/>
      <x:c r="AD392" s="55"/>
    </x:row>
    <x:row r="393">
      <x:c r="A393" s="26"/>
      <x:c r="B393" s="26"/>
      <x:c r="C393" s="35"/>
      <x:c r="D393" s="39"/>
      <x:c r="E393" s="39"/>
      <x:c r="F393" s="26"/>
      <x:c r="G393" s="26"/>
      <x:c r="H393" s="26"/>
      <x:c r="I393" s="26"/>
      <x:c r="J393" s="26"/>
      <x:c r="K393" s="43"/>
      <x:c r="L393" s="48"/>
      <x:c r="M393" s="48"/>
      <x:c r="N393" s="48"/>
      <x:c r="O393" s="48"/>
      <x:c r="P393" s="48"/>
      <x:c r="Q393" s="48"/>
      <x:c r="R393" s="48"/>
      <x:c r="S393" s="48"/>
      <x:c r="T393" s="48"/>
      <x:c r="U393" s="48"/>
      <x:c r="V393" s="48"/>
      <x:c r="W393" s="47" t="str">
        <x:f>IF(OR(J393="",K393="",L393="",M393=""),"",IF(J393="Long",(M393-L393)*K393,(L393-M393)*K393))</x:f>
      </x:c>
      <x:c r="X393" s="47" t="str">
        <x:f>IF(COUNTA(S393:V393)=0,"",SUM(S393:V393))</x:f>
      </x:c>
      <x:c r="Y393" s="47" t="str">
        <x:f>IF(W393="","",W393-IF(X393="",0,X393))</x:f>
      </x:c>
      <x:c r="Z393" s="47" t="str">
        <x:f>IF(OR(K393="",L393="",N393=""),"",ABS(L393-N393)*K393)</x:f>
      </x:c>
      <x:c r="AA393" s="52" t="str">
        <x:f>IFERROR(Y393/Z393,"")</x:f>
      </x:c>
      <x:c r="AB393" s="26"/>
      <x:c r="AC393" s="26"/>
      <x:c r="AD393" s="55"/>
    </x:row>
    <x:row r="394">
      <x:c r="A394" s="26"/>
      <x:c r="B394" s="26"/>
      <x:c r="C394" s="35"/>
      <x:c r="D394" s="39"/>
      <x:c r="E394" s="39"/>
      <x:c r="F394" s="26"/>
      <x:c r="G394" s="26"/>
      <x:c r="H394" s="26"/>
      <x:c r="I394" s="26"/>
      <x:c r="J394" s="26"/>
      <x:c r="K394" s="43"/>
      <x:c r="L394" s="48"/>
      <x:c r="M394" s="48"/>
      <x:c r="N394" s="48"/>
      <x:c r="O394" s="48"/>
      <x:c r="P394" s="48"/>
      <x:c r="Q394" s="48"/>
      <x:c r="R394" s="48"/>
      <x:c r="S394" s="48"/>
      <x:c r="T394" s="48"/>
      <x:c r="U394" s="48"/>
      <x:c r="V394" s="48"/>
      <x:c r="W394" s="47" t="str">
        <x:f>IF(OR(J394="",K394="",L394="",M394=""),"",IF(J394="Long",(M394-L394)*K394,(L394-M394)*K394))</x:f>
      </x:c>
      <x:c r="X394" s="47" t="str">
        <x:f>IF(COUNTA(S394:V394)=0,"",SUM(S394:V394))</x:f>
      </x:c>
      <x:c r="Y394" s="47" t="str">
        <x:f>IF(W394="","",W394-IF(X394="",0,X394))</x:f>
      </x:c>
      <x:c r="Z394" s="47" t="str">
        <x:f>IF(OR(K394="",L394="",N394=""),"",ABS(L394-N394)*K394)</x:f>
      </x:c>
      <x:c r="AA394" s="52" t="str">
        <x:f>IFERROR(Y394/Z394,"")</x:f>
      </x:c>
      <x:c r="AB394" s="26"/>
      <x:c r="AC394" s="26"/>
      <x:c r="AD394" s="55"/>
    </x:row>
    <x:row r="395">
      <x:c r="A395" s="26"/>
      <x:c r="B395" s="26"/>
      <x:c r="C395" s="35"/>
      <x:c r="D395" s="39"/>
      <x:c r="E395" s="39"/>
      <x:c r="F395" s="26"/>
      <x:c r="G395" s="26"/>
      <x:c r="H395" s="26"/>
      <x:c r="I395" s="26"/>
      <x:c r="J395" s="26"/>
      <x:c r="K395" s="43"/>
      <x:c r="L395" s="48"/>
      <x:c r="M395" s="48"/>
      <x:c r="N395" s="48"/>
      <x:c r="O395" s="48"/>
      <x:c r="P395" s="48"/>
      <x:c r="Q395" s="48"/>
      <x:c r="R395" s="48"/>
      <x:c r="S395" s="48"/>
      <x:c r="T395" s="48"/>
      <x:c r="U395" s="48"/>
      <x:c r="V395" s="48"/>
      <x:c r="W395" s="47" t="str">
        <x:f>IF(OR(J395="",K395="",L395="",M395=""),"",IF(J395="Long",(M395-L395)*K395,(L395-M395)*K395))</x:f>
      </x:c>
      <x:c r="X395" s="47" t="str">
        <x:f>IF(COUNTA(S395:V395)=0,"",SUM(S395:V395))</x:f>
      </x:c>
      <x:c r="Y395" s="47" t="str">
        <x:f>IF(W395="","",W395-IF(X395="",0,X395))</x:f>
      </x:c>
      <x:c r="Z395" s="47" t="str">
        <x:f>IF(OR(K395="",L395="",N395=""),"",ABS(L395-N395)*K395)</x:f>
      </x:c>
      <x:c r="AA395" s="52" t="str">
        <x:f>IFERROR(Y395/Z395,"")</x:f>
      </x:c>
      <x:c r="AB395" s="26"/>
      <x:c r="AC395" s="26"/>
      <x:c r="AD395" s="55"/>
    </x:row>
    <x:row r="396">
      <x:c r="A396" s="26"/>
      <x:c r="B396" s="26"/>
      <x:c r="C396" s="35"/>
      <x:c r="D396" s="39"/>
      <x:c r="E396" s="39"/>
      <x:c r="F396" s="26"/>
      <x:c r="G396" s="26"/>
      <x:c r="H396" s="26"/>
      <x:c r="I396" s="26"/>
      <x:c r="J396" s="26"/>
      <x:c r="K396" s="43"/>
      <x:c r="L396" s="48"/>
      <x:c r="M396" s="48"/>
      <x:c r="N396" s="48"/>
      <x:c r="O396" s="48"/>
      <x:c r="P396" s="48"/>
      <x:c r="Q396" s="48"/>
      <x:c r="R396" s="48"/>
      <x:c r="S396" s="48"/>
      <x:c r="T396" s="48"/>
      <x:c r="U396" s="48"/>
      <x:c r="V396" s="48"/>
      <x:c r="W396" s="47" t="str">
        <x:f>IF(OR(J396="",K396="",L396="",M396=""),"",IF(J396="Long",(M396-L396)*K396,(L396-M396)*K396))</x:f>
      </x:c>
      <x:c r="X396" s="47" t="str">
        <x:f>IF(COUNTA(S396:V396)=0,"",SUM(S396:V396))</x:f>
      </x:c>
      <x:c r="Y396" s="47" t="str">
        <x:f>IF(W396="","",W396-IF(X396="",0,X396))</x:f>
      </x:c>
      <x:c r="Z396" s="47" t="str">
        <x:f>IF(OR(K396="",L396="",N396=""),"",ABS(L396-N396)*K396)</x:f>
      </x:c>
      <x:c r="AA396" s="52" t="str">
        <x:f>IFERROR(Y396/Z396,"")</x:f>
      </x:c>
      <x:c r="AB396" s="26"/>
      <x:c r="AC396" s="26"/>
      <x:c r="AD396" s="55"/>
    </x:row>
    <x:row r="397">
      <x:c r="A397" s="26"/>
      <x:c r="B397" s="26"/>
      <x:c r="C397" s="35"/>
      <x:c r="D397" s="39"/>
      <x:c r="E397" s="39"/>
      <x:c r="F397" s="26"/>
      <x:c r="G397" s="26"/>
      <x:c r="H397" s="26"/>
      <x:c r="I397" s="26"/>
      <x:c r="J397" s="26"/>
      <x:c r="K397" s="43"/>
      <x:c r="L397" s="48"/>
      <x:c r="M397" s="48"/>
      <x:c r="N397" s="48"/>
      <x:c r="O397" s="48"/>
      <x:c r="P397" s="48"/>
      <x:c r="Q397" s="48"/>
      <x:c r="R397" s="48"/>
      <x:c r="S397" s="48"/>
      <x:c r="T397" s="48"/>
      <x:c r="U397" s="48"/>
      <x:c r="V397" s="48"/>
      <x:c r="W397" s="47" t="str">
        <x:f>IF(OR(J397="",K397="",L397="",M397=""),"",IF(J397="Long",(M397-L397)*K397,(L397-M397)*K397))</x:f>
      </x:c>
      <x:c r="X397" s="47" t="str">
        <x:f>IF(COUNTA(S397:V397)=0,"",SUM(S397:V397))</x:f>
      </x:c>
      <x:c r="Y397" s="47" t="str">
        <x:f>IF(W397="","",W397-IF(X397="",0,X397))</x:f>
      </x:c>
      <x:c r="Z397" s="47" t="str">
        <x:f>IF(OR(K397="",L397="",N397=""),"",ABS(L397-N397)*K397)</x:f>
      </x:c>
      <x:c r="AA397" s="52" t="str">
        <x:f>IFERROR(Y397/Z397,"")</x:f>
      </x:c>
      <x:c r="AB397" s="26"/>
      <x:c r="AC397" s="26"/>
      <x:c r="AD397" s="55"/>
    </x:row>
    <x:row r="398">
      <x:c r="A398" s="26"/>
      <x:c r="B398" s="26"/>
      <x:c r="C398" s="35"/>
      <x:c r="D398" s="39"/>
      <x:c r="E398" s="39"/>
      <x:c r="F398" s="26"/>
      <x:c r="G398" s="26"/>
      <x:c r="H398" s="26"/>
      <x:c r="I398" s="26"/>
      <x:c r="J398" s="26"/>
      <x:c r="K398" s="43"/>
      <x:c r="L398" s="48"/>
      <x:c r="M398" s="48"/>
      <x:c r="N398" s="48"/>
      <x:c r="O398" s="48"/>
      <x:c r="P398" s="48"/>
      <x:c r="Q398" s="48"/>
      <x:c r="R398" s="48"/>
      <x:c r="S398" s="48"/>
      <x:c r="T398" s="48"/>
      <x:c r="U398" s="48"/>
      <x:c r="V398" s="48"/>
      <x:c r="W398" s="47" t="str">
        <x:f>IF(OR(J398="",K398="",L398="",M398=""),"",IF(J398="Long",(M398-L398)*K398,(L398-M398)*K398))</x:f>
      </x:c>
      <x:c r="X398" s="47" t="str">
        <x:f>IF(COUNTA(S398:V398)=0,"",SUM(S398:V398))</x:f>
      </x:c>
      <x:c r="Y398" s="47" t="str">
        <x:f>IF(W398="","",W398-IF(X398="",0,X398))</x:f>
      </x:c>
      <x:c r="Z398" s="47" t="str">
        <x:f>IF(OR(K398="",L398="",N398=""),"",ABS(L398-N398)*K398)</x:f>
      </x:c>
      <x:c r="AA398" s="52" t="str">
        <x:f>IFERROR(Y398/Z398,"")</x:f>
      </x:c>
      <x:c r="AB398" s="26"/>
      <x:c r="AC398" s="26"/>
      <x:c r="AD398" s="55"/>
    </x:row>
    <x:row r="399">
      <x:c r="A399" s="26"/>
      <x:c r="B399" s="26"/>
      <x:c r="C399" s="35"/>
      <x:c r="D399" s="39"/>
      <x:c r="E399" s="39"/>
      <x:c r="F399" s="26"/>
      <x:c r="G399" s="26"/>
      <x:c r="H399" s="26"/>
      <x:c r="I399" s="26"/>
      <x:c r="J399" s="26"/>
      <x:c r="K399" s="43"/>
      <x:c r="L399" s="48"/>
      <x:c r="M399" s="48"/>
      <x:c r="N399" s="48"/>
      <x:c r="O399" s="48"/>
      <x:c r="P399" s="48"/>
      <x:c r="Q399" s="48"/>
      <x:c r="R399" s="48"/>
      <x:c r="S399" s="48"/>
      <x:c r="T399" s="48"/>
      <x:c r="U399" s="48"/>
      <x:c r="V399" s="48"/>
      <x:c r="W399" s="47" t="str">
        <x:f>IF(OR(J399="",K399="",L399="",M399=""),"",IF(J399="Long",(M399-L399)*K399,(L399-M399)*K399))</x:f>
      </x:c>
      <x:c r="X399" s="47" t="str">
        <x:f>IF(COUNTA(S399:V399)=0,"",SUM(S399:V399))</x:f>
      </x:c>
      <x:c r="Y399" s="47" t="str">
        <x:f>IF(W399="","",W399-IF(X399="",0,X399))</x:f>
      </x:c>
      <x:c r="Z399" s="47" t="str">
        <x:f>IF(OR(K399="",L399="",N399=""),"",ABS(L399-N399)*K399)</x:f>
      </x:c>
      <x:c r="AA399" s="52" t="str">
        <x:f>IFERROR(Y399/Z399,"")</x:f>
      </x:c>
      <x:c r="AB399" s="26"/>
      <x:c r="AC399" s="26"/>
      <x:c r="AD399" s="55"/>
    </x:row>
    <x:row r="400">
      <x:c r="A400" s="26"/>
      <x:c r="B400" s="26"/>
      <x:c r="C400" s="35"/>
      <x:c r="D400" s="39"/>
      <x:c r="E400" s="39"/>
      <x:c r="F400" s="26"/>
      <x:c r="G400" s="26"/>
      <x:c r="H400" s="26"/>
      <x:c r="I400" s="26"/>
      <x:c r="J400" s="26"/>
      <x:c r="K400" s="43"/>
      <x:c r="L400" s="48"/>
      <x:c r="M400" s="48"/>
      <x:c r="N400" s="48"/>
      <x:c r="O400" s="48"/>
      <x:c r="P400" s="48"/>
      <x:c r="Q400" s="48"/>
      <x:c r="R400" s="48"/>
      <x:c r="S400" s="48"/>
      <x:c r="T400" s="48"/>
      <x:c r="U400" s="48"/>
      <x:c r="V400" s="48"/>
      <x:c r="W400" s="47" t="str">
        <x:f>IF(OR(J400="",K400="",L400="",M400=""),"",IF(J400="Long",(M400-L400)*K400,(L400-M400)*K400))</x:f>
      </x:c>
      <x:c r="X400" s="47" t="str">
        <x:f>IF(COUNTA(S400:V400)=0,"",SUM(S400:V400))</x:f>
      </x:c>
      <x:c r="Y400" s="47" t="str">
        <x:f>IF(W400="","",W400-IF(X400="",0,X400))</x:f>
      </x:c>
      <x:c r="Z400" s="47" t="str">
        <x:f>IF(OR(K400="",L400="",N400=""),"",ABS(L400-N400)*K400)</x:f>
      </x:c>
      <x:c r="AA400" s="52" t="str">
        <x:f>IFERROR(Y400/Z400,"")</x:f>
      </x:c>
      <x:c r="AB400" s="26"/>
      <x:c r="AC400" s="26"/>
      <x:c r="AD400" s="55"/>
    </x:row>
    <x:row r="401">
      <x:c r="A401" s="26"/>
      <x:c r="B401" s="26"/>
      <x:c r="C401" s="35"/>
      <x:c r="D401" s="39"/>
      <x:c r="E401" s="39"/>
      <x:c r="F401" s="26"/>
      <x:c r="G401" s="26"/>
      <x:c r="H401" s="26"/>
      <x:c r="I401" s="26"/>
      <x:c r="J401" s="26"/>
      <x:c r="K401" s="43"/>
      <x:c r="L401" s="48"/>
      <x:c r="M401" s="48"/>
      <x:c r="N401" s="48"/>
      <x:c r="O401" s="48"/>
      <x:c r="P401" s="48"/>
      <x:c r="Q401" s="48"/>
      <x:c r="R401" s="48"/>
      <x:c r="S401" s="48"/>
      <x:c r="T401" s="48"/>
      <x:c r="U401" s="48"/>
      <x:c r="V401" s="48"/>
      <x:c r="W401" s="47" t="str">
        <x:f>IF(OR(J401="",K401="",L401="",M401=""),"",IF(J401="Long",(M401-L401)*K401,(L401-M401)*K401))</x:f>
      </x:c>
      <x:c r="X401" s="47" t="str">
        <x:f>IF(COUNTA(S401:V401)=0,"",SUM(S401:V401))</x:f>
      </x:c>
      <x:c r="Y401" s="47" t="str">
        <x:f>IF(W401="","",W401-IF(X401="",0,X401))</x:f>
      </x:c>
      <x:c r="Z401" s="47" t="str">
        <x:f>IF(OR(K401="",L401="",N401=""),"",ABS(L401-N401)*K401)</x:f>
      </x:c>
      <x:c r="AA401" s="52" t="str">
        <x:f>IFERROR(Y401/Z401,"")</x:f>
      </x:c>
      <x:c r="AB401" s="26"/>
      <x:c r="AC401" s="26"/>
      <x:c r="AD401" s="55"/>
    </x:row>
    <x:row r="402">
      <x:c r="A402" s="26"/>
      <x:c r="B402" s="26"/>
      <x:c r="C402" s="35"/>
      <x:c r="D402" s="39"/>
      <x:c r="E402" s="39"/>
      <x:c r="F402" s="26"/>
      <x:c r="G402" s="26"/>
      <x:c r="H402" s="26"/>
      <x:c r="I402" s="26"/>
      <x:c r="J402" s="26"/>
      <x:c r="K402" s="43"/>
      <x:c r="L402" s="48"/>
      <x:c r="M402" s="48"/>
      <x:c r="N402" s="48"/>
      <x:c r="O402" s="48"/>
      <x:c r="P402" s="48"/>
      <x:c r="Q402" s="48"/>
      <x:c r="R402" s="48"/>
      <x:c r="S402" s="48"/>
      <x:c r="T402" s="48"/>
      <x:c r="U402" s="48"/>
      <x:c r="V402" s="48"/>
      <x:c r="W402" s="47" t="str">
        <x:f>IF(OR(J402="",K402="",L402="",M402=""),"",IF(J402="Long",(M402-L402)*K402,(L402-M402)*K402))</x:f>
      </x:c>
      <x:c r="X402" s="47" t="str">
        <x:f>IF(COUNTA(S402:V402)=0,"",SUM(S402:V402))</x:f>
      </x:c>
      <x:c r="Y402" s="47" t="str">
        <x:f>IF(W402="","",W402-IF(X402="",0,X402))</x:f>
      </x:c>
      <x:c r="Z402" s="47" t="str">
        <x:f>IF(OR(K402="",L402="",N402=""),"",ABS(L402-N402)*K402)</x:f>
      </x:c>
      <x:c r="AA402" s="52" t="str">
        <x:f>IFERROR(Y402/Z402,"")</x:f>
      </x:c>
      <x:c r="AB402" s="26"/>
      <x:c r="AC402" s="26"/>
      <x:c r="AD402" s="55"/>
    </x:row>
    <x:row r="403">
      <x:c r="A403" s="26"/>
      <x:c r="B403" s="26"/>
      <x:c r="C403" s="35"/>
      <x:c r="D403" s="39"/>
      <x:c r="E403" s="39"/>
      <x:c r="F403" s="26"/>
      <x:c r="G403" s="26"/>
      <x:c r="H403" s="26"/>
      <x:c r="I403" s="26"/>
      <x:c r="J403" s="26"/>
      <x:c r="K403" s="43"/>
      <x:c r="L403" s="48"/>
      <x:c r="M403" s="48"/>
      <x:c r="N403" s="48"/>
      <x:c r="O403" s="48"/>
      <x:c r="P403" s="48"/>
      <x:c r="Q403" s="48"/>
      <x:c r="R403" s="48"/>
      <x:c r="S403" s="48"/>
      <x:c r="T403" s="48"/>
      <x:c r="U403" s="48"/>
      <x:c r="V403" s="48"/>
      <x:c r="W403" s="47" t="str">
        <x:f>IF(OR(J403="",K403="",L403="",M403=""),"",IF(J403="Long",(M403-L403)*K403,(L403-M403)*K403))</x:f>
      </x:c>
      <x:c r="X403" s="47" t="str">
        <x:f>IF(COUNTA(S403:V403)=0,"",SUM(S403:V403))</x:f>
      </x:c>
      <x:c r="Y403" s="47" t="str">
        <x:f>IF(W403="","",W403-IF(X403="",0,X403))</x:f>
      </x:c>
      <x:c r="Z403" s="47" t="str">
        <x:f>IF(OR(K403="",L403="",N403=""),"",ABS(L403-N403)*K403)</x:f>
      </x:c>
      <x:c r="AA403" s="52" t="str">
        <x:f>IFERROR(Y403/Z403,"")</x:f>
      </x:c>
      <x:c r="AB403" s="26"/>
      <x:c r="AC403" s="26"/>
      <x:c r="AD403" s="55"/>
    </x:row>
    <x:row r="404">
      <x:c r="A404" s="26"/>
      <x:c r="B404" s="26"/>
      <x:c r="C404" s="35"/>
      <x:c r="D404" s="39"/>
      <x:c r="E404" s="39"/>
      <x:c r="F404" s="26"/>
      <x:c r="G404" s="26"/>
      <x:c r="H404" s="26"/>
      <x:c r="I404" s="26"/>
      <x:c r="J404" s="26"/>
      <x:c r="K404" s="43"/>
      <x:c r="L404" s="48"/>
      <x:c r="M404" s="48"/>
      <x:c r="N404" s="48"/>
      <x:c r="O404" s="48"/>
      <x:c r="P404" s="48"/>
      <x:c r="Q404" s="48"/>
      <x:c r="R404" s="48"/>
      <x:c r="S404" s="48"/>
      <x:c r="T404" s="48"/>
      <x:c r="U404" s="48"/>
      <x:c r="V404" s="48"/>
      <x:c r="W404" s="47" t="str">
        <x:f>IF(OR(J404="",K404="",L404="",M404=""),"",IF(J404="Long",(M404-L404)*K404,(L404-M404)*K404))</x:f>
      </x:c>
      <x:c r="X404" s="47" t="str">
        <x:f>IF(COUNTA(S404:V404)=0,"",SUM(S404:V404))</x:f>
      </x:c>
      <x:c r="Y404" s="47" t="str">
        <x:f>IF(W404="","",W404-IF(X404="",0,X404))</x:f>
      </x:c>
      <x:c r="Z404" s="47" t="str">
        <x:f>IF(OR(K404="",L404="",N404=""),"",ABS(L404-N404)*K404)</x:f>
      </x:c>
      <x:c r="AA404" s="52" t="str">
        <x:f>IFERROR(Y404/Z404,"")</x:f>
      </x:c>
      <x:c r="AB404" s="26"/>
      <x:c r="AC404" s="26"/>
      <x:c r="AD404" s="55"/>
    </x:row>
    <x:row r="405">
      <x:c r="A405" s="26"/>
      <x:c r="B405" s="26"/>
      <x:c r="C405" s="35"/>
      <x:c r="D405" s="39"/>
      <x:c r="E405" s="39"/>
      <x:c r="F405" s="26"/>
      <x:c r="G405" s="26"/>
      <x:c r="H405" s="26"/>
      <x:c r="I405" s="26"/>
      <x:c r="J405" s="26"/>
      <x:c r="K405" s="43"/>
      <x:c r="L405" s="48"/>
      <x:c r="M405" s="48"/>
      <x:c r="N405" s="48"/>
      <x:c r="O405" s="48"/>
      <x:c r="P405" s="48"/>
      <x:c r="Q405" s="48"/>
      <x:c r="R405" s="48"/>
      <x:c r="S405" s="48"/>
      <x:c r="T405" s="48"/>
      <x:c r="U405" s="48"/>
      <x:c r="V405" s="48"/>
      <x:c r="W405" s="47" t="str">
        <x:f>IF(OR(J405="",K405="",L405="",M405=""),"",IF(J405="Long",(M405-L405)*K405,(L405-M405)*K405))</x:f>
      </x:c>
      <x:c r="X405" s="47" t="str">
        <x:f>IF(COUNTA(S405:V405)=0,"",SUM(S405:V405))</x:f>
      </x:c>
      <x:c r="Y405" s="47" t="str">
        <x:f>IF(W405="","",W405-IF(X405="",0,X405))</x:f>
      </x:c>
      <x:c r="Z405" s="47" t="str">
        <x:f>IF(OR(K405="",L405="",N405=""),"",ABS(L405-N405)*K405)</x:f>
      </x:c>
      <x:c r="AA405" s="52" t="str">
        <x:f>IFERROR(Y405/Z405,"")</x:f>
      </x:c>
      <x:c r="AB405" s="26"/>
      <x:c r="AC405" s="26"/>
      <x:c r="AD405" s="55"/>
    </x:row>
    <x:row r="406">
      <x:c r="A406" s="26"/>
      <x:c r="B406" s="26"/>
      <x:c r="C406" s="35"/>
      <x:c r="D406" s="39"/>
      <x:c r="E406" s="39"/>
      <x:c r="F406" s="26"/>
      <x:c r="G406" s="26"/>
      <x:c r="H406" s="26"/>
      <x:c r="I406" s="26"/>
      <x:c r="J406" s="26"/>
      <x:c r="K406" s="43"/>
      <x:c r="L406" s="48"/>
      <x:c r="M406" s="48"/>
      <x:c r="N406" s="48"/>
      <x:c r="O406" s="48"/>
      <x:c r="P406" s="48"/>
      <x:c r="Q406" s="48"/>
      <x:c r="R406" s="48"/>
      <x:c r="S406" s="48"/>
      <x:c r="T406" s="48"/>
      <x:c r="U406" s="48"/>
      <x:c r="V406" s="48"/>
      <x:c r="W406" s="47" t="str">
        <x:f>IF(OR(J406="",K406="",L406="",M406=""),"",IF(J406="Long",(M406-L406)*K406,(L406-M406)*K406))</x:f>
      </x:c>
      <x:c r="X406" s="47" t="str">
        <x:f>IF(COUNTA(S406:V406)=0,"",SUM(S406:V406))</x:f>
      </x:c>
      <x:c r="Y406" s="47" t="str">
        <x:f>IF(W406="","",W406-IF(X406="",0,X406))</x:f>
      </x:c>
      <x:c r="Z406" s="47" t="str">
        <x:f>IF(OR(K406="",L406="",N406=""),"",ABS(L406-N406)*K406)</x:f>
      </x:c>
      <x:c r="AA406" s="52" t="str">
        <x:f>IFERROR(Y406/Z406,"")</x:f>
      </x:c>
      <x:c r="AB406" s="26"/>
      <x:c r="AC406" s="26"/>
      <x:c r="AD406" s="55"/>
    </x:row>
    <x:row r="407">
      <x:c r="A407" s="26"/>
      <x:c r="B407" s="26"/>
      <x:c r="C407" s="35"/>
      <x:c r="D407" s="39"/>
      <x:c r="E407" s="39"/>
      <x:c r="F407" s="26"/>
      <x:c r="G407" s="26"/>
      <x:c r="H407" s="26"/>
      <x:c r="I407" s="26"/>
      <x:c r="J407" s="26"/>
      <x:c r="K407" s="43"/>
      <x:c r="L407" s="48"/>
      <x:c r="M407" s="48"/>
      <x:c r="N407" s="48"/>
      <x:c r="O407" s="48"/>
      <x:c r="P407" s="48"/>
      <x:c r="Q407" s="48"/>
      <x:c r="R407" s="48"/>
      <x:c r="S407" s="48"/>
      <x:c r="T407" s="48"/>
      <x:c r="U407" s="48"/>
      <x:c r="V407" s="48"/>
      <x:c r="W407" s="47" t="str">
        <x:f>IF(OR(J407="",K407="",L407="",M407=""),"",IF(J407="Long",(M407-L407)*K407,(L407-M407)*K407))</x:f>
      </x:c>
      <x:c r="X407" s="47" t="str">
        <x:f>IF(COUNTA(S407:V407)=0,"",SUM(S407:V407))</x:f>
      </x:c>
      <x:c r="Y407" s="47" t="str">
        <x:f>IF(W407="","",W407-IF(X407="",0,X407))</x:f>
      </x:c>
      <x:c r="Z407" s="47" t="str">
        <x:f>IF(OR(K407="",L407="",N407=""),"",ABS(L407-N407)*K407)</x:f>
      </x:c>
      <x:c r="AA407" s="52" t="str">
        <x:f>IFERROR(Y407/Z407,"")</x:f>
      </x:c>
      <x:c r="AB407" s="26"/>
      <x:c r="AC407" s="26"/>
      <x:c r="AD407" s="55"/>
    </x:row>
    <x:row r="408">
      <x:c r="A408" s="26"/>
      <x:c r="B408" s="26"/>
      <x:c r="C408" s="35"/>
      <x:c r="D408" s="39"/>
      <x:c r="E408" s="39"/>
      <x:c r="F408" s="26"/>
      <x:c r="G408" s="26"/>
      <x:c r="H408" s="26"/>
      <x:c r="I408" s="26"/>
      <x:c r="J408" s="26"/>
      <x:c r="K408" s="43"/>
      <x:c r="L408" s="48"/>
      <x:c r="M408" s="48"/>
      <x:c r="N408" s="48"/>
      <x:c r="O408" s="48"/>
      <x:c r="P408" s="48"/>
      <x:c r="Q408" s="48"/>
      <x:c r="R408" s="48"/>
      <x:c r="S408" s="48"/>
      <x:c r="T408" s="48"/>
      <x:c r="U408" s="48"/>
      <x:c r="V408" s="48"/>
      <x:c r="W408" s="47" t="str">
        <x:f>IF(OR(J408="",K408="",L408="",M408=""),"",IF(J408="Long",(M408-L408)*K408,(L408-M408)*K408))</x:f>
      </x:c>
      <x:c r="X408" s="47" t="str">
        <x:f>IF(COUNTA(S408:V408)=0,"",SUM(S408:V408))</x:f>
      </x:c>
      <x:c r="Y408" s="47" t="str">
        <x:f>IF(W408="","",W408-IF(X408="",0,X408))</x:f>
      </x:c>
      <x:c r="Z408" s="47" t="str">
        <x:f>IF(OR(K408="",L408="",N408=""),"",ABS(L408-N408)*K408)</x:f>
      </x:c>
      <x:c r="AA408" s="52" t="str">
        <x:f>IFERROR(Y408/Z408,"")</x:f>
      </x:c>
      <x:c r="AB408" s="26"/>
      <x:c r="AC408" s="26"/>
      <x:c r="AD408" s="55"/>
    </x:row>
    <x:row r="409">
      <x:c r="A409" s="26"/>
      <x:c r="B409" s="26"/>
      <x:c r="C409" s="35"/>
      <x:c r="D409" s="39"/>
      <x:c r="E409" s="39"/>
      <x:c r="F409" s="26"/>
      <x:c r="G409" s="26"/>
      <x:c r="H409" s="26"/>
      <x:c r="I409" s="26"/>
      <x:c r="J409" s="26"/>
      <x:c r="K409" s="43"/>
      <x:c r="L409" s="48"/>
      <x:c r="M409" s="48"/>
      <x:c r="N409" s="48"/>
      <x:c r="O409" s="48"/>
      <x:c r="P409" s="48"/>
      <x:c r="Q409" s="48"/>
      <x:c r="R409" s="48"/>
      <x:c r="S409" s="48"/>
      <x:c r="T409" s="48"/>
      <x:c r="U409" s="48"/>
      <x:c r="V409" s="48"/>
      <x:c r="W409" s="47" t="str">
        <x:f>IF(OR(J409="",K409="",L409="",M409=""),"",IF(J409="Long",(M409-L409)*K409,(L409-M409)*K409))</x:f>
      </x:c>
      <x:c r="X409" s="47" t="str">
        <x:f>IF(COUNTA(S409:V409)=0,"",SUM(S409:V409))</x:f>
      </x:c>
      <x:c r="Y409" s="47" t="str">
        <x:f>IF(W409="","",W409-IF(X409="",0,X409))</x:f>
      </x:c>
      <x:c r="Z409" s="47" t="str">
        <x:f>IF(OR(K409="",L409="",N409=""),"",ABS(L409-N409)*K409)</x:f>
      </x:c>
      <x:c r="AA409" s="52" t="str">
        <x:f>IFERROR(Y409/Z409,"")</x:f>
      </x:c>
      <x:c r="AB409" s="26"/>
      <x:c r="AC409" s="26"/>
      <x:c r="AD409" s="55"/>
    </x:row>
    <x:row r="410">
      <x:c r="A410" s="26"/>
      <x:c r="B410" s="26"/>
      <x:c r="C410" s="35"/>
      <x:c r="D410" s="39"/>
      <x:c r="E410" s="39"/>
      <x:c r="F410" s="26"/>
      <x:c r="G410" s="26"/>
      <x:c r="H410" s="26"/>
      <x:c r="I410" s="26"/>
      <x:c r="J410" s="26"/>
      <x:c r="K410" s="43"/>
      <x:c r="L410" s="48"/>
      <x:c r="M410" s="48"/>
      <x:c r="N410" s="48"/>
      <x:c r="O410" s="48"/>
      <x:c r="P410" s="48"/>
      <x:c r="Q410" s="48"/>
      <x:c r="R410" s="48"/>
      <x:c r="S410" s="48"/>
      <x:c r="T410" s="48"/>
      <x:c r="U410" s="48"/>
      <x:c r="V410" s="48"/>
      <x:c r="W410" s="47" t="str">
        <x:f>IF(OR(J410="",K410="",L410="",M410=""),"",IF(J410="Long",(M410-L410)*K410,(L410-M410)*K410))</x:f>
      </x:c>
      <x:c r="X410" s="47" t="str">
        <x:f>IF(COUNTA(S410:V410)=0,"",SUM(S410:V410))</x:f>
      </x:c>
      <x:c r="Y410" s="47" t="str">
        <x:f>IF(W410="","",W410-IF(X410="",0,X410))</x:f>
      </x:c>
      <x:c r="Z410" s="47" t="str">
        <x:f>IF(OR(K410="",L410="",N410=""),"",ABS(L410-N410)*K410)</x:f>
      </x:c>
      <x:c r="AA410" s="52" t="str">
        <x:f>IFERROR(Y410/Z410,"")</x:f>
      </x:c>
      <x:c r="AB410" s="26"/>
      <x:c r="AC410" s="26"/>
      <x:c r="AD410" s="55"/>
    </x:row>
    <x:row r="411">
      <x:c r="A411" s="26"/>
      <x:c r="B411" s="26"/>
      <x:c r="C411" s="35"/>
      <x:c r="D411" s="39"/>
      <x:c r="E411" s="39"/>
      <x:c r="F411" s="26"/>
      <x:c r="G411" s="26"/>
      <x:c r="H411" s="26"/>
      <x:c r="I411" s="26"/>
      <x:c r="J411" s="26"/>
      <x:c r="K411" s="43"/>
      <x:c r="L411" s="48"/>
      <x:c r="M411" s="48"/>
      <x:c r="N411" s="48"/>
      <x:c r="O411" s="48"/>
      <x:c r="P411" s="48"/>
      <x:c r="Q411" s="48"/>
      <x:c r="R411" s="48"/>
      <x:c r="S411" s="48"/>
      <x:c r="T411" s="48"/>
      <x:c r="U411" s="48"/>
      <x:c r="V411" s="48"/>
      <x:c r="W411" s="47" t="str">
        <x:f>IF(OR(J411="",K411="",L411="",M411=""),"",IF(J411="Long",(M411-L411)*K411,(L411-M411)*K411))</x:f>
      </x:c>
      <x:c r="X411" s="47" t="str">
        <x:f>IF(COUNTA(S411:V411)=0,"",SUM(S411:V411))</x:f>
      </x:c>
      <x:c r="Y411" s="47" t="str">
        <x:f>IF(W411="","",W411-IF(X411="",0,X411))</x:f>
      </x:c>
      <x:c r="Z411" s="47" t="str">
        <x:f>IF(OR(K411="",L411="",N411=""),"",ABS(L411-N411)*K411)</x:f>
      </x:c>
      <x:c r="AA411" s="52" t="str">
        <x:f>IFERROR(Y411/Z411,"")</x:f>
      </x:c>
      <x:c r="AB411" s="26"/>
      <x:c r="AC411" s="26"/>
      <x:c r="AD411" s="55"/>
    </x:row>
    <x:row r="412">
      <x:c r="A412" s="26"/>
      <x:c r="B412" s="26"/>
      <x:c r="C412" s="35"/>
      <x:c r="D412" s="39"/>
      <x:c r="E412" s="39"/>
      <x:c r="F412" s="26"/>
      <x:c r="G412" s="26"/>
      <x:c r="H412" s="26"/>
      <x:c r="I412" s="26"/>
      <x:c r="J412" s="26"/>
      <x:c r="K412" s="43"/>
      <x:c r="L412" s="48"/>
      <x:c r="M412" s="48"/>
      <x:c r="N412" s="48"/>
      <x:c r="O412" s="48"/>
      <x:c r="P412" s="48"/>
      <x:c r="Q412" s="48"/>
      <x:c r="R412" s="48"/>
      <x:c r="S412" s="48"/>
      <x:c r="T412" s="48"/>
      <x:c r="U412" s="48"/>
      <x:c r="V412" s="48"/>
      <x:c r="W412" s="47" t="str">
        <x:f>IF(OR(J412="",K412="",L412="",M412=""),"",IF(J412="Long",(M412-L412)*K412,(L412-M412)*K412))</x:f>
      </x:c>
      <x:c r="X412" s="47" t="str">
        <x:f>IF(COUNTA(S412:V412)=0,"",SUM(S412:V412))</x:f>
      </x:c>
      <x:c r="Y412" s="47" t="str">
        <x:f>IF(W412="","",W412-IF(X412="",0,X412))</x:f>
      </x:c>
      <x:c r="Z412" s="47" t="str">
        <x:f>IF(OR(K412="",L412="",N412=""),"",ABS(L412-N412)*K412)</x:f>
      </x:c>
      <x:c r="AA412" s="52" t="str">
        <x:f>IFERROR(Y412/Z412,"")</x:f>
      </x:c>
      <x:c r="AB412" s="26"/>
      <x:c r="AC412" s="26"/>
      <x:c r="AD412" s="55"/>
    </x:row>
    <x:row r="413">
      <x:c r="A413" s="26"/>
      <x:c r="B413" s="26"/>
      <x:c r="C413" s="35"/>
      <x:c r="D413" s="39"/>
      <x:c r="E413" s="39"/>
      <x:c r="F413" s="26"/>
      <x:c r="G413" s="26"/>
      <x:c r="H413" s="26"/>
      <x:c r="I413" s="26"/>
      <x:c r="J413" s="26"/>
      <x:c r="K413" s="43"/>
      <x:c r="L413" s="48"/>
      <x:c r="M413" s="48"/>
      <x:c r="N413" s="48"/>
      <x:c r="O413" s="48"/>
      <x:c r="P413" s="48"/>
      <x:c r="Q413" s="48"/>
      <x:c r="R413" s="48"/>
      <x:c r="S413" s="48"/>
      <x:c r="T413" s="48"/>
      <x:c r="U413" s="48"/>
      <x:c r="V413" s="48"/>
      <x:c r="W413" s="47" t="str">
        <x:f>IF(OR(J413="",K413="",L413="",M413=""),"",IF(J413="Long",(M413-L413)*K413,(L413-M413)*K413))</x:f>
      </x:c>
      <x:c r="X413" s="47" t="str">
        <x:f>IF(COUNTA(S413:V413)=0,"",SUM(S413:V413))</x:f>
      </x:c>
      <x:c r="Y413" s="47" t="str">
        <x:f>IF(W413="","",W413-IF(X413="",0,X413))</x:f>
      </x:c>
      <x:c r="Z413" s="47" t="str">
        <x:f>IF(OR(K413="",L413="",N413=""),"",ABS(L413-N413)*K413)</x:f>
      </x:c>
      <x:c r="AA413" s="52" t="str">
        <x:f>IFERROR(Y413/Z413,"")</x:f>
      </x:c>
      <x:c r="AB413" s="26"/>
      <x:c r="AC413" s="26"/>
      <x:c r="AD413" s="55"/>
    </x:row>
    <x:row r="414">
      <x:c r="A414" s="26"/>
      <x:c r="B414" s="26"/>
      <x:c r="C414" s="35"/>
      <x:c r="D414" s="39"/>
      <x:c r="E414" s="39"/>
      <x:c r="F414" s="26"/>
      <x:c r="G414" s="26"/>
      <x:c r="H414" s="26"/>
      <x:c r="I414" s="26"/>
      <x:c r="J414" s="26"/>
      <x:c r="K414" s="43"/>
      <x:c r="L414" s="48"/>
      <x:c r="M414" s="48"/>
      <x:c r="N414" s="48"/>
      <x:c r="O414" s="48"/>
      <x:c r="P414" s="48"/>
      <x:c r="Q414" s="48"/>
      <x:c r="R414" s="48"/>
      <x:c r="S414" s="48"/>
      <x:c r="T414" s="48"/>
      <x:c r="U414" s="48"/>
      <x:c r="V414" s="48"/>
      <x:c r="W414" s="47" t="str">
        <x:f>IF(OR(J414="",K414="",L414="",M414=""),"",IF(J414="Long",(M414-L414)*K414,(L414-M414)*K414))</x:f>
      </x:c>
      <x:c r="X414" s="47" t="str">
        <x:f>IF(COUNTA(S414:V414)=0,"",SUM(S414:V414))</x:f>
      </x:c>
      <x:c r="Y414" s="47" t="str">
        <x:f>IF(W414="","",W414-IF(X414="",0,X414))</x:f>
      </x:c>
      <x:c r="Z414" s="47" t="str">
        <x:f>IF(OR(K414="",L414="",N414=""),"",ABS(L414-N414)*K414)</x:f>
      </x:c>
      <x:c r="AA414" s="52" t="str">
        <x:f>IFERROR(Y414/Z414,"")</x:f>
      </x:c>
      <x:c r="AB414" s="26"/>
      <x:c r="AC414" s="26"/>
      <x:c r="AD414" s="55"/>
    </x:row>
    <x:row r="415">
      <x:c r="A415" s="26"/>
      <x:c r="B415" s="26"/>
      <x:c r="C415" s="35"/>
      <x:c r="D415" s="39"/>
      <x:c r="E415" s="39"/>
      <x:c r="F415" s="26"/>
      <x:c r="G415" s="26"/>
      <x:c r="H415" s="26"/>
      <x:c r="I415" s="26"/>
      <x:c r="J415" s="26"/>
      <x:c r="K415" s="43"/>
      <x:c r="L415" s="48"/>
      <x:c r="M415" s="48"/>
      <x:c r="N415" s="48"/>
      <x:c r="O415" s="48"/>
      <x:c r="P415" s="48"/>
      <x:c r="Q415" s="48"/>
      <x:c r="R415" s="48"/>
      <x:c r="S415" s="48"/>
      <x:c r="T415" s="48"/>
      <x:c r="U415" s="48"/>
      <x:c r="V415" s="48"/>
      <x:c r="W415" s="47" t="str">
        <x:f>IF(OR(J415="",K415="",L415="",M415=""),"",IF(J415="Long",(M415-L415)*K415,(L415-M415)*K415))</x:f>
      </x:c>
      <x:c r="X415" s="47" t="str">
        <x:f>IF(COUNTA(S415:V415)=0,"",SUM(S415:V415))</x:f>
      </x:c>
      <x:c r="Y415" s="47" t="str">
        <x:f>IF(W415="","",W415-IF(X415="",0,X415))</x:f>
      </x:c>
      <x:c r="Z415" s="47" t="str">
        <x:f>IF(OR(K415="",L415="",N415=""),"",ABS(L415-N415)*K415)</x:f>
      </x:c>
      <x:c r="AA415" s="52" t="str">
        <x:f>IFERROR(Y415/Z415,"")</x:f>
      </x:c>
      <x:c r="AB415" s="26"/>
      <x:c r="AC415" s="26"/>
      <x:c r="AD415" s="55"/>
    </x:row>
    <x:row r="416">
      <x:c r="A416" s="26"/>
      <x:c r="B416" s="26"/>
      <x:c r="C416" s="35"/>
      <x:c r="D416" s="39"/>
      <x:c r="E416" s="39"/>
      <x:c r="F416" s="26"/>
      <x:c r="G416" s="26"/>
      <x:c r="H416" s="26"/>
      <x:c r="I416" s="26"/>
      <x:c r="J416" s="26"/>
      <x:c r="K416" s="43"/>
      <x:c r="L416" s="48"/>
      <x:c r="M416" s="48"/>
      <x:c r="N416" s="48"/>
      <x:c r="O416" s="48"/>
      <x:c r="P416" s="48"/>
      <x:c r="Q416" s="48"/>
      <x:c r="R416" s="48"/>
      <x:c r="S416" s="48"/>
      <x:c r="T416" s="48"/>
      <x:c r="U416" s="48"/>
      <x:c r="V416" s="48"/>
      <x:c r="W416" s="47" t="str">
        <x:f>IF(OR(J416="",K416="",L416="",M416=""),"",IF(J416="Long",(M416-L416)*K416,(L416-M416)*K416))</x:f>
      </x:c>
      <x:c r="X416" s="47" t="str">
        <x:f>IF(COUNTA(S416:V416)=0,"",SUM(S416:V416))</x:f>
      </x:c>
      <x:c r="Y416" s="47" t="str">
        <x:f>IF(W416="","",W416-IF(X416="",0,X416))</x:f>
      </x:c>
      <x:c r="Z416" s="47" t="str">
        <x:f>IF(OR(K416="",L416="",N416=""),"",ABS(L416-N416)*K416)</x:f>
      </x:c>
      <x:c r="AA416" s="52" t="str">
        <x:f>IFERROR(Y416/Z416,"")</x:f>
      </x:c>
      <x:c r="AB416" s="26"/>
      <x:c r="AC416" s="26"/>
      <x:c r="AD416" s="55"/>
    </x:row>
    <x:row r="417">
      <x:c r="A417" s="26"/>
      <x:c r="B417" s="26"/>
      <x:c r="C417" s="35"/>
      <x:c r="D417" s="39"/>
      <x:c r="E417" s="39"/>
      <x:c r="F417" s="26"/>
      <x:c r="G417" s="26"/>
      <x:c r="H417" s="26"/>
      <x:c r="I417" s="26"/>
      <x:c r="J417" s="26"/>
      <x:c r="K417" s="43"/>
      <x:c r="L417" s="48"/>
      <x:c r="M417" s="48"/>
      <x:c r="N417" s="48"/>
      <x:c r="O417" s="48"/>
      <x:c r="P417" s="48"/>
      <x:c r="Q417" s="48"/>
      <x:c r="R417" s="48"/>
      <x:c r="S417" s="48"/>
      <x:c r="T417" s="48"/>
      <x:c r="U417" s="48"/>
      <x:c r="V417" s="48"/>
      <x:c r="W417" s="47" t="str">
        <x:f>IF(OR(J417="",K417="",L417="",M417=""),"",IF(J417="Long",(M417-L417)*K417,(L417-M417)*K417))</x:f>
      </x:c>
      <x:c r="X417" s="47" t="str">
        <x:f>IF(COUNTA(S417:V417)=0,"",SUM(S417:V417))</x:f>
      </x:c>
      <x:c r="Y417" s="47" t="str">
        <x:f>IF(W417="","",W417-IF(X417="",0,X417))</x:f>
      </x:c>
      <x:c r="Z417" s="47" t="str">
        <x:f>IF(OR(K417="",L417="",N417=""),"",ABS(L417-N417)*K417)</x:f>
      </x:c>
      <x:c r="AA417" s="52" t="str">
        <x:f>IFERROR(Y417/Z417,"")</x:f>
      </x:c>
      <x:c r="AB417" s="26"/>
      <x:c r="AC417" s="26"/>
      <x:c r="AD417" s="55"/>
    </x:row>
    <x:row r="418">
      <x:c r="A418" s="26"/>
      <x:c r="B418" s="26"/>
      <x:c r="C418" s="35"/>
      <x:c r="D418" s="39"/>
      <x:c r="E418" s="39"/>
      <x:c r="F418" s="26"/>
      <x:c r="G418" s="26"/>
      <x:c r="H418" s="26"/>
      <x:c r="I418" s="26"/>
      <x:c r="J418" s="26"/>
      <x:c r="K418" s="43"/>
      <x:c r="L418" s="48"/>
      <x:c r="M418" s="48"/>
      <x:c r="N418" s="48"/>
      <x:c r="O418" s="48"/>
      <x:c r="P418" s="48"/>
      <x:c r="Q418" s="48"/>
      <x:c r="R418" s="48"/>
      <x:c r="S418" s="48"/>
      <x:c r="T418" s="48"/>
      <x:c r="U418" s="48"/>
      <x:c r="V418" s="48"/>
      <x:c r="W418" s="47" t="str">
        <x:f>IF(OR(J418="",K418="",L418="",M418=""),"",IF(J418="Long",(M418-L418)*K418,(L418-M418)*K418))</x:f>
      </x:c>
      <x:c r="X418" s="47" t="str">
        <x:f>IF(COUNTA(S418:V418)=0,"",SUM(S418:V418))</x:f>
      </x:c>
      <x:c r="Y418" s="47" t="str">
        <x:f>IF(W418="","",W418-IF(X418="",0,X418))</x:f>
      </x:c>
      <x:c r="Z418" s="47" t="str">
        <x:f>IF(OR(K418="",L418="",N418=""),"",ABS(L418-N418)*K418)</x:f>
      </x:c>
      <x:c r="AA418" s="52" t="str">
        <x:f>IFERROR(Y418/Z418,"")</x:f>
      </x:c>
      <x:c r="AB418" s="26"/>
      <x:c r="AC418" s="26"/>
      <x:c r="AD418" s="55"/>
    </x:row>
    <x:row r="419">
      <x:c r="A419" s="26"/>
      <x:c r="B419" s="26"/>
      <x:c r="C419" s="35"/>
      <x:c r="D419" s="39"/>
      <x:c r="E419" s="39"/>
      <x:c r="F419" s="26"/>
      <x:c r="G419" s="26"/>
      <x:c r="H419" s="26"/>
      <x:c r="I419" s="26"/>
      <x:c r="J419" s="26"/>
      <x:c r="K419" s="43"/>
      <x:c r="L419" s="48"/>
      <x:c r="M419" s="48"/>
      <x:c r="N419" s="48"/>
      <x:c r="O419" s="48"/>
      <x:c r="P419" s="48"/>
      <x:c r="Q419" s="48"/>
      <x:c r="R419" s="48"/>
      <x:c r="S419" s="48"/>
      <x:c r="T419" s="48"/>
      <x:c r="U419" s="48"/>
      <x:c r="V419" s="48"/>
      <x:c r="W419" s="47" t="str">
        <x:f>IF(OR(J419="",K419="",L419="",M419=""),"",IF(J419="Long",(M419-L419)*K419,(L419-M419)*K419))</x:f>
      </x:c>
      <x:c r="X419" s="47" t="str">
        <x:f>IF(COUNTA(S419:V419)=0,"",SUM(S419:V419))</x:f>
      </x:c>
      <x:c r="Y419" s="47" t="str">
        <x:f>IF(W419="","",W419-IF(X419="",0,X419))</x:f>
      </x:c>
      <x:c r="Z419" s="47" t="str">
        <x:f>IF(OR(K419="",L419="",N419=""),"",ABS(L419-N419)*K419)</x:f>
      </x:c>
      <x:c r="AA419" s="52" t="str">
        <x:f>IFERROR(Y419/Z419,"")</x:f>
      </x:c>
      <x:c r="AB419" s="26"/>
      <x:c r="AC419" s="26"/>
      <x:c r="AD419" s="55"/>
    </x:row>
    <x:row r="420">
      <x:c r="A420" s="26"/>
      <x:c r="B420" s="26"/>
      <x:c r="C420" s="35"/>
      <x:c r="D420" s="39"/>
      <x:c r="E420" s="39"/>
      <x:c r="F420" s="26"/>
      <x:c r="G420" s="26"/>
      <x:c r="H420" s="26"/>
      <x:c r="I420" s="26"/>
      <x:c r="J420" s="26"/>
      <x:c r="K420" s="43"/>
      <x:c r="L420" s="48"/>
      <x:c r="M420" s="48"/>
      <x:c r="N420" s="48"/>
      <x:c r="O420" s="48"/>
      <x:c r="P420" s="48"/>
      <x:c r="Q420" s="48"/>
      <x:c r="R420" s="48"/>
      <x:c r="S420" s="48"/>
      <x:c r="T420" s="48"/>
      <x:c r="U420" s="48"/>
      <x:c r="V420" s="48"/>
      <x:c r="W420" s="47" t="str">
        <x:f>IF(OR(J420="",K420="",L420="",M420=""),"",IF(J420="Long",(M420-L420)*K420,(L420-M420)*K420))</x:f>
      </x:c>
      <x:c r="X420" s="47" t="str">
        <x:f>IF(COUNTA(S420:V420)=0,"",SUM(S420:V420))</x:f>
      </x:c>
      <x:c r="Y420" s="47" t="str">
        <x:f>IF(W420="","",W420-IF(X420="",0,X420))</x:f>
      </x:c>
      <x:c r="Z420" s="47" t="str">
        <x:f>IF(OR(K420="",L420="",N420=""),"",ABS(L420-N420)*K420)</x:f>
      </x:c>
      <x:c r="AA420" s="52" t="str">
        <x:f>IFERROR(Y420/Z420,"")</x:f>
      </x:c>
      <x:c r="AB420" s="26"/>
      <x:c r="AC420" s="26"/>
      <x:c r="AD420" s="55"/>
    </x:row>
    <x:row r="421">
      <x:c r="A421" s="26"/>
      <x:c r="B421" s="26"/>
      <x:c r="C421" s="35"/>
      <x:c r="D421" s="39"/>
      <x:c r="E421" s="39"/>
      <x:c r="F421" s="26"/>
      <x:c r="G421" s="26"/>
      <x:c r="H421" s="26"/>
      <x:c r="I421" s="26"/>
      <x:c r="J421" s="26"/>
      <x:c r="K421" s="43"/>
      <x:c r="L421" s="48"/>
      <x:c r="M421" s="48"/>
      <x:c r="N421" s="48"/>
      <x:c r="O421" s="48"/>
      <x:c r="P421" s="48"/>
      <x:c r="Q421" s="48"/>
      <x:c r="R421" s="48"/>
      <x:c r="S421" s="48"/>
      <x:c r="T421" s="48"/>
      <x:c r="U421" s="48"/>
      <x:c r="V421" s="48"/>
      <x:c r="W421" s="47" t="str">
        <x:f>IF(OR(J421="",K421="",L421="",M421=""),"",IF(J421="Long",(M421-L421)*K421,(L421-M421)*K421))</x:f>
      </x:c>
      <x:c r="X421" s="47" t="str">
        <x:f>IF(COUNTA(S421:V421)=0,"",SUM(S421:V421))</x:f>
      </x:c>
      <x:c r="Y421" s="47" t="str">
        <x:f>IF(W421="","",W421-IF(X421="",0,X421))</x:f>
      </x:c>
      <x:c r="Z421" s="47" t="str">
        <x:f>IF(OR(K421="",L421="",N421=""),"",ABS(L421-N421)*K421)</x:f>
      </x:c>
      <x:c r="AA421" s="52" t="str">
        <x:f>IFERROR(Y421/Z421,"")</x:f>
      </x:c>
      <x:c r="AB421" s="26"/>
      <x:c r="AC421" s="26"/>
      <x:c r="AD421" s="55"/>
    </x:row>
    <x:row r="422">
      <x:c r="A422" s="26"/>
      <x:c r="B422" s="26"/>
      <x:c r="C422" s="35"/>
      <x:c r="D422" s="39"/>
      <x:c r="E422" s="39"/>
      <x:c r="F422" s="26"/>
      <x:c r="G422" s="26"/>
      <x:c r="H422" s="26"/>
      <x:c r="I422" s="26"/>
      <x:c r="J422" s="26"/>
      <x:c r="K422" s="43"/>
      <x:c r="L422" s="48"/>
      <x:c r="M422" s="48"/>
      <x:c r="N422" s="48"/>
      <x:c r="O422" s="48"/>
      <x:c r="P422" s="48"/>
      <x:c r="Q422" s="48"/>
      <x:c r="R422" s="48"/>
      <x:c r="S422" s="48"/>
      <x:c r="T422" s="48"/>
      <x:c r="U422" s="48"/>
      <x:c r="V422" s="48"/>
      <x:c r="W422" s="47" t="str">
        <x:f>IF(OR(J422="",K422="",L422="",M422=""),"",IF(J422="Long",(M422-L422)*K422,(L422-M422)*K422))</x:f>
      </x:c>
      <x:c r="X422" s="47" t="str">
        <x:f>IF(COUNTA(S422:V422)=0,"",SUM(S422:V422))</x:f>
      </x:c>
      <x:c r="Y422" s="47" t="str">
        <x:f>IF(W422="","",W422-IF(X422="",0,X422))</x:f>
      </x:c>
      <x:c r="Z422" s="47" t="str">
        <x:f>IF(OR(K422="",L422="",N422=""),"",ABS(L422-N422)*K422)</x:f>
      </x:c>
      <x:c r="AA422" s="52" t="str">
        <x:f>IFERROR(Y422/Z422,"")</x:f>
      </x:c>
      <x:c r="AB422" s="26"/>
      <x:c r="AC422" s="26"/>
      <x:c r="AD422" s="55"/>
    </x:row>
    <x:row r="423">
      <x:c r="A423" s="26"/>
      <x:c r="B423" s="26"/>
      <x:c r="C423" s="35"/>
      <x:c r="D423" s="39"/>
      <x:c r="E423" s="39"/>
      <x:c r="F423" s="26"/>
      <x:c r="G423" s="26"/>
      <x:c r="H423" s="26"/>
      <x:c r="I423" s="26"/>
      <x:c r="J423" s="26"/>
      <x:c r="K423" s="43"/>
      <x:c r="L423" s="48"/>
      <x:c r="M423" s="48"/>
      <x:c r="N423" s="48"/>
      <x:c r="O423" s="48"/>
      <x:c r="P423" s="48"/>
      <x:c r="Q423" s="48"/>
      <x:c r="R423" s="48"/>
      <x:c r="S423" s="48"/>
      <x:c r="T423" s="48"/>
      <x:c r="U423" s="48"/>
      <x:c r="V423" s="48"/>
      <x:c r="W423" s="47" t="str">
        <x:f>IF(OR(J423="",K423="",L423="",M423=""),"",IF(J423="Long",(M423-L423)*K423,(L423-M423)*K423))</x:f>
      </x:c>
      <x:c r="X423" s="47" t="str">
        <x:f>IF(COUNTA(S423:V423)=0,"",SUM(S423:V423))</x:f>
      </x:c>
      <x:c r="Y423" s="47" t="str">
        <x:f>IF(W423="","",W423-IF(X423="",0,X423))</x:f>
      </x:c>
      <x:c r="Z423" s="47" t="str">
        <x:f>IF(OR(K423="",L423="",N423=""),"",ABS(L423-N423)*K423)</x:f>
      </x:c>
      <x:c r="AA423" s="52" t="str">
        <x:f>IFERROR(Y423/Z423,"")</x:f>
      </x:c>
      <x:c r="AB423" s="26"/>
      <x:c r="AC423" s="26"/>
      <x:c r="AD423" s="55"/>
    </x:row>
    <x:row r="424">
      <x:c r="A424" s="26"/>
      <x:c r="B424" s="26"/>
      <x:c r="C424" s="35"/>
      <x:c r="D424" s="39"/>
      <x:c r="E424" s="39"/>
      <x:c r="F424" s="26"/>
      <x:c r="G424" s="26"/>
      <x:c r="H424" s="26"/>
      <x:c r="I424" s="26"/>
      <x:c r="J424" s="26"/>
      <x:c r="K424" s="43"/>
      <x:c r="L424" s="48"/>
      <x:c r="M424" s="48"/>
      <x:c r="N424" s="48"/>
      <x:c r="O424" s="48"/>
      <x:c r="P424" s="48"/>
      <x:c r="Q424" s="48"/>
      <x:c r="R424" s="48"/>
      <x:c r="S424" s="48"/>
      <x:c r="T424" s="48"/>
      <x:c r="U424" s="48"/>
      <x:c r="V424" s="48"/>
      <x:c r="W424" s="47" t="str">
        <x:f>IF(OR(J424="",K424="",L424="",M424=""),"",IF(J424="Long",(M424-L424)*K424,(L424-M424)*K424))</x:f>
      </x:c>
      <x:c r="X424" s="47" t="str">
        <x:f>IF(COUNTA(S424:V424)=0,"",SUM(S424:V424))</x:f>
      </x:c>
      <x:c r="Y424" s="47" t="str">
        <x:f>IF(W424="","",W424-IF(X424="",0,X424))</x:f>
      </x:c>
      <x:c r="Z424" s="47" t="str">
        <x:f>IF(OR(K424="",L424="",N424=""),"",ABS(L424-N424)*K424)</x:f>
      </x:c>
      <x:c r="AA424" s="52" t="str">
        <x:f>IFERROR(Y424/Z424,"")</x:f>
      </x:c>
      <x:c r="AB424" s="26"/>
      <x:c r="AC424" s="26"/>
      <x:c r="AD424" s="55"/>
    </x:row>
    <x:row r="425">
      <x:c r="A425" s="26"/>
      <x:c r="B425" s="26"/>
      <x:c r="C425" s="35"/>
      <x:c r="D425" s="39"/>
      <x:c r="E425" s="39"/>
      <x:c r="F425" s="26"/>
      <x:c r="G425" s="26"/>
      <x:c r="H425" s="26"/>
      <x:c r="I425" s="26"/>
      <x:c r="J425" s="26"/>
      <x:c r="K425" s="43"/>
      <x:c r="L425" s="48"/>
      <x:c r="M425" s="48"/>
      <x:c r="N425" s="48"/>
      <x:c r="O425" s="48"/>
      <x:c r="P425" s="48"/>
      <x:c r="Q425" s="48"/>
      <x:c r="R425" s="48"/>
      <x:c r="S425" s="48"/>
      <x:c r="T425" s="48"/>
      <x:c r="U425" s="48"/>
      <x:c r="V425" s="48"/>
      <x:c r="W425" s="47" t="str">
        <x:f>IF(OR(J425="",K425="",L425="",M425=""),"",IF(J425="Long",(M425-L425)*K425,(L425-M425)*K425))</x:f>
      </x:c>
      <x:c r="X425" s="47" t="str">
        <x:f>IF(COUNTA(S425:V425)=0,"",SUM(S425:V425))</x:f>
      </x:c>
      <x:c r="Y425" s="47" t="str">
        <x:f>IF(W425="","",W425-IF(X425="",0,X425))</x:f>
      </x:c>
      <x:c r="Z425" s="47" t="str">
        <x:f>IF(OR(K425="",L425="",N425=""),"",ABS(L425-N425)*K425)</x:f>
      </x:c>
      <x:c r="AA425" s="52" t="str">
        <x:f>IFERROR(Y425/Z425,"")</x:f>
      </x:c>
      <x:c r="AB425" s="26"/>
      <x:c r="AC425" s="26"/>
      <x:c r="AD425" s="55"/>
    </x:row>
    <x:row r="426">
      <x:c r="A426" s="26"/>
      <x:c r="B426" s="26"/>
      <x:c r="C426" s="35"/>
      <x:c r="D426" s="39"/>
      <x:c r="E426" s="39"/>
      <x:c r="F426" s="26"/>
      <x:c r="G426" s="26"/>
      <x:c r="H426" s="26"/>
      <x:c r="I426" s="26"/>
      <x:c r="J426" s="26"/>
      <x:c r="K426" s="43"/>
      <x:c r="L426" s="48"/>
      <x:c r="M426" s="48"/>
      <x:c r="N426" s="48"/>
      <x:c r="O426" s="48"/>
      <x:c r="P426" s="48"/>
      <x:c r="Q426" s="48"/>
      <x:c r="R426" s="48"/>
      <x:c r="S426" s="48"/>
      <x:c r="T426" s="48"/>
      <x:c r="U426" s="48"/>
      <x:c r="V426" s="48"/>
      <x:c r="W426" s="47" t="str">
        <x:f>IF(OR(J426="",K426="",L426="",M426=""),"",IF(J426="Long",(M426-L426)*K426,(L426-M426)*K426))</x:f>
      </x:c>
      <x:c r="X426" s="47" t="str">
        <x:f>IF(COUNTA(S426:V426)=0,"",SUM(S426:V426))</x:f>
      </x:c>
      <x:c r="Y426" s="47" t="str">
        <x:f>IF(W426="","",W426-IF(X426="",0,X426))</x:f>
      </x:c>
      <x:c r="Z426" s="47" t="str">
        <x:f>IF(OR(K426="",L426="",N426=""),"",ABS(L426-N426)*K426)</x:f>
      </x:c>
      <x:c r="AA426" s="52" t="str">
        <x:f>IFERROR(Y426/Z426,"")</x:f>
      </x:c>
      <x:c r="AB426" s="26"/>
      <x:c r="AC426" s="26"/>
      <x:c r="AD426" s="55"/>
    </x:row>
    <x:row r="427">
      <x:c r="A427" s="26"/>
      <x:c r="B427" s="26"/>
      <x:c r="C427" s="35"/>
      <x:c r="D427" s="39"/>
      <x:c r="E427" s="39"/>
      <x:c r="F427" s="26"/>
      <x:c r="G427" s="26"/>
      <x:c r="H427" s="26"/>
      <x:c r="I427" s="26"/>
      <x:c r="J427" s="26"/>
      <x:c r="K427" s="43"/>
      <x:c r="L427" s="48"/>
      <x:c r="M427" s="48"/>
      <x:c r="N427" s="48"/>
      <x:c r="O427" s="48"/>
      <x:c r="P427" s="48"/>
      <x:c r="Q427" s="48"/>
      <x:c r="R427" s="48"/>
      <x:c r="S427" s="48"/>
      <x:c r="T427" s="48"/>
      <x:c r="U427" s="48"/>
      <x:c r="V427" s="48"/>
      <x:c r="W427" s="47" t="str">
        <x:f>IF(OR(J427="",K427="",L427="",M427=""),"",IF(J427="Long",(M427-L427)*K427,(L427-M427)*K427))</x:f>
      </x:c>
      <x:c r="X427" s="47" t="str">
        <x:f>IF(COUNTA(S427:V427)=0,"",SUM(S427:V427))</x:f>
      </x:c>
      <x:c r="Y427" s="47" t="str">
        <x:f>IF(W427="","",W427-IF(X427="",0,X427))</x:f>
      </x:c>
      <x:c r="Z427" s="47" t="str">
        <x:f>IF(OR(K427="",L427="",N427=""),"",ABS(L427-N427)*K427)</x:f>
      </x:c>
      <x:c r="AA427" s="52" t="str">
        <x:f>IFERROR(Y427/Z427,"")</x:f>
      </x:c>
      <x:c r="AB427" s="26"/>
      <x:c r="AC427" s="26"/>
      <x:c r="AD427" s="55"/>
    </x:row>
    <x:row r="428">
      <x:c r="A428" s="26"/>
      <x:c r="B428" s="26"/>
      <x:c r="C428" s="35"/>
      <x:c r="D428" s="39"/>
      <x:c r="E428" s="39"/>
      <x:c r="F428" s="26"/>
      <x:c r="G428" s="26"/>
      <x:c r="H428" s="26"/>
      <x:c r="I428" s="26"/>
      <x:c r="J428" s="26"/>
      <x:c r="K428" s="43"/>
      <x:c r="L428" s="48"/>
      <x:c r="M428" s="48"/>
      <x:c r="N428" s="48"/>
      <x:c r="O428" s="48"/>
      <x:c r="P428" s="48"/>
      <x:c r="Q428" s="48"/>
      <x:c r="R428" s="48"/>
      <x:c r="S428" s="48"/>
      <x:c r="T428" s="48"/>
      <x:c r="U428" s="48"/>
      <x:c r="V428" s="48"/>
      <x:c r="W428" s="47" t="str">
        <x:f>IF(OR(J428="",K428="",L428="",M428=""),"",IF(J428="Long",(M428-L428)*K428,(L428-M428)*K428))</x:f>
      </x:c>
      <x:c r="X428" s="47" t="str">
        <x:f>IF(COUNTA(S428:V428)=0,"",SUM(S428:V428))</x:f>
      </x:c>
      <x:c r="Y428" s="47" t="str">
        <x:f>IF(W428="","",W428-IF(X428="",0,X428))</x:f>
      </x:c>
      <x:c r="Z428" s="47" t="str">
        <x:f>IF(OR(K428="",L428="",N428=""),"",ABS(L428-N428)*K428)</x:f>
      </x:c>
      <x:c r="AA428" s="52" t="str">
        <x:f>IFERROR(Y428/Z428,"")</x:f>
      </x:c>
      <x:c r="AB428" s="26"/>
      <x:c r="AC428" s="26"/>
      <x:c r="AD428" s="55"/>
    </x:row>
    <x:row r="429">
      <x:c r="A429" s="26"/>
      <x:c r="B429" s="26"/>
      <x:c r="C429" s="35"/>
      <x:c r="D429" s="39"/>
      <x:c r="E429" s="39"/>
      <x:c r="F429" s="26"/>
      <x:c r="G429" s="26"/>
      <x:c r="H429" s="26"/>
      <x:c r="I429" s="26"/>
      <x:c r="J429" s="26"/>
      <x:c r="K429" s="43"/>
      <x:c r="L429" s="48"/>
      <x:c r="M429" s="48"/>
      <x:c r="N429" s="48"/>
      <x:c r="O429" s="48"/>
      <x:c r="P429" s="48"/>
      <x:c r="Q429" s="48"/>
      <x:c r="R429" s="48"/>
      <x:c r="S429" s="48"/>
      <x:c r="T429" s="48"/>
      <x:c r="U429" s="48"/>
      <x:c r="V429" s="48"/>
      <x:c r="W429" s="47" t="str">
        <x:f>IF(OR(J429="",K429="",L429="",M429=""),"",IF(J429="Long",(M429-L429)*K429,(L429-M429)*K429))</x:f>
      </x:c>
      <x:c r="X429" s="47" t="str">
        <x:f>IF(COUNTA(S429:V429)=0,"",SUM(S429:V429))</x:f>
      </x:c>
      <x:c r="Y429" s="47" t="str">
        <x:f>IF(W429="","",W429-IF(X429="",0,X429))</x:f>
      </x:c>
      <x:c r="Z429" s="47" t="str">
        <x:f>IF(OR(K429="",L429="",N429=""),"",ABS(L429-N429)*K429)</x:f>
      </x:c>
      <x:c r="AA429" s="52" t="str">
        <x:f>IFERROR(Y429/Z429,"")</x:f>
      </x:c>
      <x:c r="AB429" s="26"/>
      <x:c r="AC429" s="26"/>
      <x:c r="AD429" s="55"/>
    </x:row>
    <x:row r="430">
      <x:c r="A430" s="26"/>
      <x:c r="B430" s="26"/>
      <x:c r="C430" s="35"/>
      <x:c r="D430" s="39"/>
      <x:c r="E430" s="39"/>
      <x:c r="F430" s="26"/>
      <x:c r="G430" s="26"/>
      <x:c r="H430" s="26"/>
      <x:c r="I430" s="26"/>
      <x:c r="J430" s="26"/>
      <x:c r="K430" s="43"/>
      <x:c r="L430" s="48"/>
      <x:c r="M430" s="48"/>
      <x:c r="N430" s="48"/>
      <x:c r="O430" s="48"/>
      <x:c r="P430" s="48"/>
      <x:c r="Q430" s="48"/>
      <x:c r="R430" s="48"/>
      <x:c r="S430" s="48"/>
      <x:c r="T430" s="48"/>
      <x:c r="U430" s="48"/>
      <x:c r="V430" s="48"/>
      <x:c r="W430" s="47" t="str">
        <x:f>IF(OR(J430="",K430="",L430="",M430=""),"",IF(J430="Long",(M430-L430)*K430,(L430-M430)*K430))</x:f>
      </x:c>
      <x:c r="X430" s="47" t="str">
        <x:f>IF(COUNTA(S430:V430)=0,"",SUM(S430:V430))</x:f>
      </x:c>
      <x:c r="Y430" s="47" t="str">
        <x:f>IF(W430="","",W430-IF(X430="",0,X430))</x:f>
      </x:c>
      <x:c r="Z430" s="47" t="str">
        <x:f>IF(OR(K430="",L430="",N430=""),"",ABS(L430-N430)*K430)</x:f>
      </x:c>
      <x:c r="AA430" s="52" t="str">
        <x:f>IFERROR(Y430/Z430,"")</x:f>
      </x:c>
      <x:c r="AB430" s="26"/>
      <x:c r="AC430" s="26"/>
      <x:c r="AD430" s="55"/>
    </x:row>
    <x:row r="431">
      <x:c r="A431" s="26"/>
      <x:c r="B431" s="26"/>
      <x:c r="C431" s="35"/>
      <x:c r="D431" s="39"/>
      <x:c r="E431" s="39"/>
      <x:c r="F431" s="26"/>
      <x:c r="G431" s="26"/>
      <x:c r="H431" s="26"/>
      <x:c r="I431" s="26"/>
      <x:c r="J431" s="26"/>
      <x:c r="K431" s="43"/>
      <x:c r="L431" s="48"/>
      <x:c r="M431" s="48"/>
      <x:c r="N431" s="48"/>
      <x:c r="O431" s="48"/>
      <x:c r="P431" s="48"/>
      <x:c r="Q431" s="48"/>
      <x:c r="R431" s="48"/>
      <x:c r="S431" s="48"/>
      <x:c r="T431" s="48"/>
      <x:c r="U431" s="48"/>
      <x:c r="V431" s="48"/>
      <x:c r="W431" s="47" t="str">
        <x:f>IF(OR(J431="",K431="",L431="",M431=""),"",IF(J431="Long",(M431-L431)*K431,(L431-M431)*K431))</x:f>
      </x:c>
      <x:c r="X431" s="47" t="str">
        <x:f>IF(COUNTA(S431:V431)=0,"",SUM(S431:V431))</x:f>
      </x:c>
      <x:c r="Y431" s="47" t="str">
        <x:f>IF(W431="","",W431-IF(X431="",0,X431))</x:f>
      </x:c>
      <x:c r="Z431" s="47" t="str">
        <x:f>IF(OR(K431="",L431="",N431=""),"",ABS(L431-N431)*K431)</x:f>
      </x:c>
      <x:c r="AA431" s="52" t="str">
        <x:f>IFERROR(Y431/Z431,"")</x:f>
      </x:c>
      <x:c r="AB431" s="26"/>
      <x:c r="AC431" s="26"/>
      <x:c r="AD431" s="55"/>
    </x:row>
    <x:row r="432">
      <x:c r="A432" s="26"/>
      <x:c r="B432" s="26"/>
      <x:c r="C432" s="35"/>
      <x:c r="D432" s="39"/>
      <x:c r="E432" s="39"/>
      <x:c r="F432" s="26"/>
      <x:c r="G432" s="26"/>
      <x:c r="H432" s="26"/>
      <x:c r="I432" s="26"/>
      <x:c r="J432" s="26"/>
      <x:c r="K432" s="43"/>
      <x:c r="L432" s="48"/>
      <x:c r="M432" s="48"/>
      <x:c r="N432" s="48"/>
      <x:c r="O432" s="48"/>
      <x:c r="P432" s="48"/>
      <x:c r="Q432" s="48"/>
      <x:c r="R432" s="48"/>
      <x:c r="S432" s="48"/>
      <x:c r="T432" s="48"/>
      <x:c r="U432" s="48"/>
      <x:c r="V432" s="48"/>
      <x:c r="W432" s="47" t="str">
        <x:f>IF(OR(J432="",K432="",L432="",M432=""),"",IF(J432="Long",(M432-L432)*K432,(L432-M432)*K432))</x:f>
      </x:c>
      <x:c r="X432" s="47" t="str">
        <x:f>IF(COUNTA(S432:V432)=0,"",SUM(S432:V432))</x:f>
      </x:c>
      <x:c r="Y432" s="47" t="str">
        <x:f>IF(W432="","",W432-IF(X432="",0,X432))</x:f>
      </x:c>
      <x:c r="Z432" s="47" t="str">
        <x:f>IF(OR(K432="",L432="",N432=""),"",ABS(L432-N432)*K432)</x:f>
      </x:c>
      <x:c r="AA432" s="52" t="str">
        <x:f>IFERROR(Y432/Z432,"")</x:f>
      </x:c>
      <x:c r="AB432" s="26"/>
      <x:c r="AC432" s="26"/>
      <x:c r="AD432" s="55"/>
    </x:row>
    <x:row r="433">
      <x:c r="A433" s="26"/>
      <x:c r="B433" s="26"/>
      <x:c r="C433" s="35"/>
      <x:c r="D433" s="39"/>
      <x:c r="E433" s="39"/>
      <x:c r="F433" s="26"/>
      <x:c r="G433" s="26"/>
      <x:c r="H433" s="26"/>
      <x:c r="I433" s="26"/>
      <x:c r="J433" s="26"/>
      <x:c r="K433" s="43"/>
      <x:c r="L433" s="48"/>
      <x:c r="M433" s="48"/>
      <x:c r="N433" s="48"/>
      <x:c r="O433" s="48"/>
      <x:c r="P433" s="48"/>
      <x:c r="Q433" s="48"/>
      <x:c r="R433" s="48"/>
      <x:c r="S433" s="48"/>
      <x:c r="T433" s="48"/>
      <x:c r="U433" s="48"/>
      <x:c r="V433" s="48"/>
      <x:c r="W433" s="47" t="str">
        <x:f>IF(OR(J433="",K433="",L433="",M433=""),"",IF(J433="Long",(M433-L433)*K433,(L433-M433)*K433))</x:f>
      </x:c>
      <x:c r="X433" s="47" t="str">
        <x:f>IF(COUNTA(S433:V433)=0,"",SUM(S433:V433))</x:f>
      </x:c>
      <x:c r="Y433" s="47" t="str">
        <x:f>IF(W433="","",W433-IF(X433="",0,X433))</x:f>
      </x:c>
      <x:c r="Z433" s="47" t="str">
        <x:f>IF(OR(K433="",L433="",N433=""),"",ABS(L433-N433)*K433)</x:f>
      </x:c>
      <x:c r="AA433" s="52" t="str">
        <x:f>IFERROR(Y433/Z433,"")</x:f>
      </x:c>
      <x:c r="AB433" s="26"/>
      <x:c r="AC433" s="26"/>
      <x:c r="AD433" s="55"/>
    </x:row>
    <x:row r="434">
      <x:c r="A434" s="26"/>
      <x:c r="B434" s="26"/>
      <x:c r="C434" s="35"/>
      <x:c r="D434" s="39"/>
      <x:c r="E434" s="39"/>
      <x:c r="F434" s="26"/>
      <x:c r="G434" s="26"/>
      <x:c r="H434" s="26"/>
      <x:c r="I434" s="26"/>
      <x:c r="J434" s="26"/>
      <x:c r="K434" s="43"/>
      <x:c r="L434" s="48"/>
      <x:c r="M434" s="48"/>
      <x:c r="N434" s="48"/>
      <x:c r="O434" s="48"/>
      <x:c r="P434" s="48"/>
      <x:c r="Q434" s="48"/>
      <x:c r="R434" s="48"/>
      <x:c r="S434" s="48"/>
      <x:c r="T434" s="48"/>
      <x:c r="U434" s="48"/>
      <x:c r="V434" s="48"/>
      <x:c r="W434" s="47" t="str">
        <x:f>IF(OR(J434="",K434="",L434="",M434=""),"",IF(J434="Long",(M434-L434)*K434,(L434-M434)*K434))</x:f>
      </x:c>
      <x:c r="X434" s="47" t="str">
        <x:f>IF(COUNTA(S434:V434)=0,"",SUM(S434:V434))</x:f>
      </x:c>
      <x:c r="Y434" s="47" t="str">
        <x:f>IF(W434="","",W434-IF(X434="",0,X434))</x:f>
      </x:c>
      <x:c r="Z434" s="47" t="str">
        <x:f>IF(OR(K434="",L434="",N434=""),"",ABS(L434-N434)*K434)</x:f>
      </x:c>
      <x:c r="AA434" s="52" t="str">
        <x:f>IFERROR(Y434/Z434,"")</x:f>
      </x:c>
      <x:c r="AB434" s="26"/>
      <x:c r="AC434" s="26"/>
      <x:c r="AD434" s="55"/>
    </x:row>
    <x:row r="435">
      <x:c r="A435" s="26"/>
      <x:c r="B435" s="26"/>
      <x:c r="C435" s="35"/>
      <x:c r="D435" s="39"/>
      <x:c r="E435" s="39"/>
      <x:c r="F435" s="26"/>
      <x:c r="G435" s="26"/>
      <x:c r="H435" s="26"/>
      <x:c r="I435" s="26"/>
      <x:c r="J435" s="26"/>
      <x:c r="K435" s="43"/>
      <x:c r="L435" s="48"/>
      <x:c r="M435" s="48"/>
      <x:c r="N435" s="48"/>
      <x:c r="O435" s="48"/>
      <x:c r="P435" s="48"/>
      <x:c r="Q435" s="48"/>
      <x:c r="R435" s="48"/>
      <x:c r="S435" s="48"/>
      <x:c r="T435" s="48"/>
      <x:c r="U435" s="48"/>
      <x:c r="V435" s="48"/>
      <x:c r="W435" s="47" t="str">
        <x:f>IF(OR(J435="",K435="",L435="",M435=""),"",IF(J435="Long",(M435-L435)*K435,(L435-M435)*K435))</x:f>
      </x:c>
      <x:c r="X435" s="47" t="str">
        <x:f>IF(COUNTA(S435:V435)=0,"",SUM(S435:V435))</x:f>
      </x:c>
      <x:c r="Y435" s="47" t="str">
        <x:f>IF(W435="","",W435-IF(X435="",0,X435))</x:f>
      </x:c>
      <x:c r="Z435" s="47" t="str">
        <x:f>IF(OR(K435="",L435="",N435=""),"",ABS(L435-N435)*K435)</x:f>
      </x:c>
      <x:c r="AA435" s="52" t="str">
        <x:f>IFERROR(Y435/Z435,"")</x:f>
      </x:c>
      <x:c r="AB435" s="26"/>
      <x:c r="AC435" s="26"/>
      <x:c r="AD435" s="55"/>
    </x:row>
    <x:row r="436">
      <x:c r="A436" s="26"/>
      <x:c r="B436" s="26"/>
      <x:c r="C436" s="35"/>
      <x:c r="D436" s="39"/>
      <x:c r="E436" s="39"/>
      <x:c r="F436" s="26"/>
      <x:c r="G436" s="26"/>
      <x:c r="H436" s="26"/>
      <x:c r="I436" s="26"/>
      <x:c r="J436" s="26"/>
      <x:c r="K436" s="43"/>
      <x:c r="L436" s="48"/>
      <x:c r="M436" s="48"/>
      <x:c r="N436" s="48"/>
      <x:c r="O436" s="48"/>
      <x:c r="P436" s="48"/>
      <x:c r="Q436" s="48"/>
      <x:c r="R436" s="48"/>
      <x:c r="S436" s="48"/>
      <x:c r="T436" s="48"/>
      <x:c r="U436" s="48"/>
      <x:c r="V436" s="48"/>
      <x:c r="W436" s="47" t="str">
        <x:f>IF(OR(J436="",K436="",L436="",M436=""),"",IF(J436="Long",(M436-L436)*K436,(L436-M436)*K436))</x:f>
      </x:c>
      <x:c r="X436" s="47" t="str">
        <x:f>IF(COUNTA(S436:V436)=0,"",SUM(S436:V436))</x:f>
      </x:c>
      <x:c r="Y436" s="47" t="str">
        <x:f>IF(W436="","",W436-IF(X436="",0,X436))</x:f>
      </x:c>
      <x:c r="Z436" s="47" t="str">
        <x:f>IF(OR(K436="",L436="",N436=""),"",ABS(L436-N436)*K436)</x:f>
      </x:c>
      <x:c r="AA436" s="52" t="str">
        <x:f>IFERROR(Y436/Z436,"")</x:f>
      </x:c>
      <x:c r="AB436" s="26"/>
      <x:c r="AC436" s="26"/>
      <x:c r="AD436" s="55"/>
    </x:row>
    <x:row r="437">
      <x:c r="A437" s="26"/>
      <x:c r="B437" s="26"/>
      <x:c r="C437" s="35"/>
      <x:c r="D437" s="39"/>
      <x:c r="E437" s="39"/>
      <x:c r="F437" s="26"/>
      <x:c r="G437" s="26"/>
      <x:c r="H437" s="26"/>
      <x:c r="I437" s="26"/>
      <x:c r="J437" s="26"/>
      <x:c r="K437" s="43"/>
      <x:c r="L437" s="48"/>
      <x:c r="M437" s="48"/>
      <x:c r="N437" s="48"/>
      <x:c r="O437" s="48"/>
      <x:c r="P437" s="48"/>
      <x:c r="Q437" s="48"/>
      <x:c r="R437" s="48"/>
      <x:c r="S437" s="48"/>
      <x:c r="T437" s="48"/>
      <x:c r="U437" s="48"/>
      <x:c r="V437" s="48"/>
      <x:c r="W437" s="47" t="str">
        <x:f>IF(OR(J437="",K437="",L437="",M437=""),"",IF(J437="Long",(M437-L437)*K437,(L437-M437)*K437))</x:f>
      </x:c>
      <x:c r="X437" s="47" t="str">
        <x:f>IF(COUNTA(S437:V437)=0,"",SUM(S437:V437))</x:f>
      </x:c>
      <x:c r="Y437" s="47" t="str">
        <x:f>IF(W437="","",W437-IF(X437="",0,X437))</x:f>
      </x:c>
      <x:c r="Z437" s="47" t="str">
        <x:f>IF(OR(K437="",L437="",N437=""),"",ABS(L437-N437)*K437)</x:f>
      </x:c>
      <x:c r="AA437" s="52" t="str">
        <x:f>IFERROR(Y437/Z437,"")</x:f>
      </x:c>
      <x:c r="AB437" s="26"/>
      <x:c r="AC437" s="26"/>
      <x:c r="AD437" s="55"/>
    </x:row>
    <x:row r="438">
      <x:c r="A438" s="26"/>
      <x:c r="B438" s="26"/>
      <x:c r="C438" s="35"/>
      <x:c r="D438" s="39"/>
      <x:c r="E438" s="39"/>
      <x:c r="F438" s="26"/>
      <x:c r="G438" s="26"/>
      <x:c r="H438" s="26"/>
      <x:c r="I438" s="26"/>
      <x:c r="J438" s="26"/>
      <x:c r="K438" s="43"/>
      <x:c r="L438" s="48"/>
      <x:c r="M438" s="48"/>
      <x:c r="N438" s="48"/>
      <x:c r="O438" s="48"/>
      <x:c r="P438" s="48"/>
      <x:c r="Q438" s="48"/>
      <x:c r="R438" s="48"/>
      <x:c r="S438" s="48"/>
      <x:c r="T438" s="48"/>
      <x:c r="U438" s="48"/>
      <x:c r="V438" s="48"/>
      <x:c r="W438" s="47" t="str">
        <x:f>IF(OR(J438="",K438="",L438="",M438=""),"",IF(J438="Long",(M438-L438)*K438,(L438-M438)*K438))</x:f>
      </x:c>
      <x:c r="X438" s="47" t="str">
        <x:f>IF(COUNTA(S438:V438)=0,"",SUM(S438:V438))</x:f>
      </x:c>
      <x:c r="Y438" s="47" t="str">
        <x:f>IF(W438="","",W438-IF(X438="",0,X438))</x:f>
      </x:c>
      <x:c r="Z438" s="47" t="str">
        <x:f>IF(OR(K438="",L438="",N438=""),"",ABS(L438-N438)*K438)</x:f>
      </x:c>
      <x:c r="AA438" s="52" t="str">
        <x:f>IFERROR(Y438/Z438,"")</x:f>
      </x:c>
      <x:c r="AB438" s="26"/>
      <x:c r="AC438" s="26"/>
      <x:c r="AD438" s="55"/>
    </x:row>
    <x:row r="439">
      <x:c r="A439" s="26"/>
      <x:c r="B439" s="26"/>
      <x:c r="C439" s="35"/>
      <x:c r="D439" s="39"/>
      <x:c r="E439" s="39"/>
      <x:c r="F439" s="26"/>
      <x:c r="G439" s="26"/>
      <x:c r="H439" s="26"/>
      <x:c r="I439" s="26"/>
      <x:c r="J439" s="26"/>
      <x:c r="K439" s="43"/>
      <x:c r="L439" s="48"/>
      <x:c r="M439" s="48"/>
      <x:c r="N439" s="48"/>
      <x:c r="O439" s="48"/>
      <x:c r="P439" s="48"/>
      <x:c r="Q439" s="48"/>
      <x:c r="R439" s="48"/>
      <x:c r="S439" s="48"/>
      <x:c r="T439" s="48"/>
      <x:c r="U439" s="48"/>
      <x:c r="V439" s="48"/>
      <x:c r="W439" s="47" t="str">
        <x:f>IF(OR(J439="",K439="",L439="",M439=""),"",IF(J439="Long",(M439-L439)*K439,(L439-M439)*K439))</x:f>
      </x:c>
      <x:c r="X439" s="47" t="str">
        <x:f>IF(COUNTA(S439:V439)=0,"",SUM(S439:V439))</x:f>
      </x:c>
      <x:c r="Y439" s="47" t="str">
        <x:f>IF(W439="","",W439-IF(X439="",0,X439))</x:f>
      </x:c>
      <x:c r="Z439" s="47" t="str">
        <x:f>IF(OR(K439="",L439="",N439=""),"",ABS(L439-N439)*K439)</x:f>
      </x:c>
      <x:c r="AA439" s="52" t="str">
        <x:f>IFERROR(Y439/Z439,"")</x:f>
      </x:c>
      <x:c r="AB439" s="26"/>
      <x:c r="AC439" s="26"/>
      <x:c r="AD439" s="55"/>
    </x:row>
    <x:row r="440">
      <x:c r="A440" s="26"/>
      <x:c r="B440" s="26"/>
      <x:c r="C440" s="35"/>
      <x:c r="D440" s="39"/>
      <x:c r="E440" s="39"/>
      <x:c r="F440" s="26"/>
      <x:c r="G440" s="26"/>
      <x:c r="H440" s="26"/>
      <x:c r="I440" s="26"/>
      <x:c r="J440" s="26"/>
      <x:c r="K440" s="43"/>
      <x:c r="L440" s="48"/>
      <x:c r="M440" s="48"/>
      <x:c r="N440" s="48"/>
      <x:c r="O440" s="48"/>
      <x:c r="P440" s="48"/>
      <x:c r="Q440" s="48"/>
      <x:c r="R440" s="48"/>
      <x:c r="S440" s="48"/>
      <x:c r="T440" s="48"/>
      <x:c r="U440" s="48"/>
      <x:c r="V440" s="48"/>
      <x:c r="W440" s="47" t="str">
        <x:f>IF(OR(J440="",K440="",L440="",M440=""),"",IF(J440="Long",(M440-L440)*K440,(L440-M440)*K440))</x:f>
      </x:c>
      <x:c r="X440" s="47" t="str">
        <x:f>IF(COUNTA(S440:V440)=0,"",SUM(S440:V440))</x:f>
      </x:c>
      <x:c r="Y440" s="47" t="str">
        <x:f>IF(W440="","",W440-IF(X440="",0,X440))</x:f>
      </x:c>
      <x:c r="Z440" s="47" t="str">
        <x:f>IF(OR(K440="",L440="",N440=""),"",ABS(L440-N440)*K440)</x:f>
      </x:c>
      <x:c r="AA440" s="52" t="str">
        <x:f>IFERROR(Y440/Z440,"")</x:f>
      </x:c>
      <x:c r="AB440" s="26"/>
      <x:c r="AC440" s="26"/>
      <x:c r="AD440" s="55"/>
    </x:row>
    <x:row r="441">
      <x:c r="A441" s="26"/>
      <x:c r="B441" s="26"/>
      <x:c r="C441" s="35"/>
      <x:c r="D441" s="39"/>
      <x:c r="E441" s="39"/>
      <x:c r="F441" s="26"/>
      <x:c r="G441" s="26"/>
      <x:c r="H441" s="26"/>
      <x:c r="I441" s="26"/>
      <x:c r="J441" s="26"/>
      <x:c r="K441" s="43"/>
      <x:c r="L441" s="48"/>
      <x:c r="M441" s="48"/>
      <x:c r="N441" s="48"/>
      <x:c r="O441" s="48"/>
      <x:c r="P441" s="48"/>
      <x:c r="Q441" s="48"/>
      <x:c r="R441" s="48"/>
      <x:c r="S441" s="48"/>
      <x:c r="T441" s="48"/>
      <x:c r="U441" s="48"/>
      <x:c r="V441" s="48"/>
      <x:c r="W441" s="47" t="str">
        <x:f>IF(OR(J441="",K441="",L441="",M441=""),"",IF(J441="Long",(M441-L441)*K441,(L441-M441)*K441))</x:f>
      </x:c>
      <x:c r="X441" s="47" t="str">
        <x:f>IF(COUNTA(S441:V441)=0,"",SUM(S441:V441))</x:f>
      </x:c>
      <x:c r="Y441" s="47" t="str">
        <x:f>IF(W441="","",W441-IF(X441="",0,X441))</x:f>
      </x:c>
      <x:c r="Z441" s="47" t="str">
        <x:f>IF(OR(K441="",L441="",N441=""),"",ABS(L441-N441)*K441)</x:f>
      </x:c>
      <x:c r="AA441" s="52" t="str">
        <x:f>IFERROR(Y441/Z441,"")</x:f>
      </x:c>
      <x:c r="AB441" s="26"/>
      <x:c r="AC441" s="26"/>
      <x:c r="AD441" s="55"/>
    </x:row>
    <x:row r="442">
      <x:c r="A442" s="26"/>
      <x:c r="B442" s="26"/>
      <x:c r="C442" s="35"/>
      <x:c r="D442" s="39"/>
      <x:c r="E442" s="39"/>
      <x:c r="F442" s="26"/>
      <x:c r="G442" s="26"/>
      <x:c r="H442" s="26"/>
      <x:c r="I442" s="26"/>
      <x:c r="J442" s="26"/>
      <x:c r="K442" s="43"/>
      <x:c r="L442" s="48"/>
      <x:c r="M442" s="48"/>
      <x:c r="N442" s="48"/>
      <x:c r="O442" s="48"/>
      <x:c r="P442" s="48"/>
      <x:c r="Q442" s="48"/>
      <x:c r="R442" s="48"/>
      <x:c r="S442" s="48"/>
      <x:c r="T442" s="48"/>
      <x:c r="U442" s="48"/>
      <x:c r="V442" s="48"/>
      <x:c r="W442" s="47" t="str">
        <x:f>IF(OR(J442="",K442="",L442="",M442=""),"",IF(J442="Long",(M442-L442)*K442,(L442-M442)*K442))</x:f>
      </x:c>
      <x:c r="X442" s="47" t="str">
        <x:f>IF(COUNTA(S442:V442)=0,"",SUM(S442:V442))</x:f>
      </x:c>
      <x:c r="Y442" s="47" t="str">
        <x:f>IF(W442="","",W442-IF(X442="",0,X442))</x:f>
      </x:c>
      <x:c r="Z442" s="47" t="str">
        <x:f>IF(OR(K442="",L442="",N442=""),"",ABS(L442-N442)*K442)</x:f>
      </x:c>
      <x:c r="AA442" s="52" t="str">
        <x:f>IFERROR(Y442/Z442,"")</x:f>
      </x:c>
      <x:c r="AB442" s="26"/>
      <x:c r="AC442" s="26"/>
      <x:c r="AD442" s="55"/>
    </x:row>
    <x:row r="443">
      <x:c r="A443" s="26"/>
      <x:c r="B443" s="26"/>
      <x:c r="C443" s="35"/>
      <x:c r="D443" s="39"/>
      <x:c r="E443" s="39"/>
      <x:c r="F443" s="26"/>
      <x:c r="G443" s="26"/>
      <x:c r="H443" s="26"/>
      <x:c r="I443" s="26"/>
      <x:c r="J443" s="26"/>
      <x:c r="K443" s="43"/>
      <x:c r="L443" s="48"/>
      <x:c r="M443" s="48"/>
      <x:c r="N443" s="48"/>
      <x:c r="O443" s="48"/>
      <x:c r="P443" s="48"/>
      <x:c r="Q443" s="48"/>
      <x:c r="R443" s="48"/>
      <x:c r="S443" s="48"/>
      <x:c r="T443" s="48"/>
      <x:c r="U443" s="48"/>
      <x:c r="V443" s="48"/>
      <x:c r="W443" s="47" t="str">
        <x:f>IF(OR(J443="",K443="",L443="",M443=""),"",IF(J443="Long",(M443-L443)*K443,(L443-M443)*K443))</x:f>
      </x:c>
      <x:c r="X443" s="47" t="str">
        <x:f>IF(COUNTA(S443:V443)=0,"",SUM(S443:V443))</x:f>
      </x:c>
      <x:c r="Y443" s="47" t="str">
        <x:f>IF(W443="","",W443-IF(X443="",0,X443))</x:f>
      </x:c>
      <x:c r="Z443" s="47" t="str">
        <x:f>IF(OR(K443="",L443="",N443=""),"",ABS(L443-N443)*K443)</x:f>
      </x:c>
      <x:c r="AA443" s="52" t="str">
        <x:f>IFERROR(Y443/Z443,"")</x:f>
      </x:c>
      <x:c r="AB443" s="26"/>
      <x:c r="AC443" s="26"/>
      <x:c r="AD443" s="55"/>
    </x:row>
    <x:row r="444">
      <x:c r="A444" s="26"/>
      <x:c r="B444" s="26"/>
      <x:c r="C444" s="35"/>
      <x:c r="D444" s="39"/>
      <x:c r="E444" s="39"/>
      <x:c r="F444" s="26"/>
      <x:c r="G444" s="26"/>
      <x:c r="H444" s="26"/>
      <x:c r="I444" s="26"/>
      <x:c r="J444" s="26"/>
      <x:c r="K444" s="43"/>
      <x:c r="L444" s="48"/>
      <x:c r="M444" s="48"/>
      <x:c r="N444" s="48"/>
      <x:c r="O444" s="48"/>
      <x:c r="P444" s="48"/>
      <x:c r="Q444" s="48"/>
      <x:c r="R444" s="48"/>
      <x:c r="S444" s="48"/>
      <x:c r="T444" s="48"/>
      <x:c r="U444" s="48"/>
      <x:c r="V444" s="48"/>
      <x:c r="W444" s="47" t="str">
        <x:f>IF(OR(J444="",K444="",L444="",M444=""),"",IF(J444="Long",(M444-L444)*K444,(L444-M444)*K444))</x:f>
      </x:c>
      <x:c r="X444" s="47" t="str">
        <x:f>IF(COUNTA(S444:V444)=0,"",SUM(S444:V444))</x:f>
      </x:c>
      <x:c r="Y444" s="47" t="str">
        <x:f>IF(W444="","",W444-IF(X444="",0,X444))</x:f>
      </x:c>
      <x:c r="Z444" s="47" t="str">
        <x:f>IF(OR(K444="",L444="",N444=""),"",ABS(L444-N444)*K444)</x:f>
      </x:c>
      <x:c r="AA444" s="52" t="str">
        <x:f>IFERROR(Y444/Z444,"")</x:f>
      </x:c>
      <x:c r="AB444" s="26"/>
      <x:c r="AC444" s="26"/>
      <x:c r="AD444" s="55"/>
    </x:row>
    <x:row r="445">
      <x:c r="A445" s="26"/>
      <x:c r="B445" s="26"/>
      <x:c r="C445" s="35"/>
      <x:c r="D445" s="39"/>
      <x:c r="E445" s="39"/>
      <x:c r="F445" s="26"/>
      <x:c r="G445" s="26"/>
      <x:c r="H445" s="26"/>
      <x:c r="I445" s="26"/>
      <x:c r="J445" s="26"/>
      <x:c r="K445" s="43"/>
      <x:c r="L445" s="48"/>
      <x:c r="M445" s="48"/>
      <x:c r="N445" s="48"/>
      <x:c r="O445" s="48"/>
      <x:c r="P445" s="48"/>
      <x:c r="Q445" s="48"/>
      <x:c r="R445" s="48"/>
      <x:c r="S445" s="48"/>
      <x:c r="T445" s="48"/>
      <x:c r="U445" s="48"/>
      <x:c r="V445" s="48"/>
      <x:c r="W445" s="47" t="str">
        <x:f>IF(OR(J445="",K445="",L445="",M445=""),"",IF(J445="Long",(M445-L445)*K445,(L445-M445)*K445))</x:f>
      </x:c>
      <x:c r="X445" s="47" t="str">
        <x:f>IF(COUNTA(S445:V445)=0,"",SUM(S445:V445))</x:f>
      </x:c>
      <x:c r="Y445" s="47" t="str">
        <x:f>IF(W445="","",W445-IF(X445="",0,X445))</x:f>
      </x:c>
      <x:c r="Z445" s="47" t="str">
        <x:f>IF(OR(K445="",L445="",N445=""),"",ABS(L445-N445)*K445)</x:f>
      </x:c>
      <x:c r="AA445" s="52" t="str">
        <x:f>IFERROR(Y445/Z445,"")</x:f>
      </x:c>
      <x:c r="AB445" s="26"/>
      <x:c r="AC445" s="26"/>
      <x:c r="AD445" s="55"/>
    </x:row>
    <x:row r="446">
      <x:c r="A446" s="26"/>
      <x:c r="B446" s="26"/>
      <x:c r="C446" s="35"/>
      <x:c r="D446" s="39"/>
      <x:c r="E446" s="39"/>
      <x:c r="F446" s="26"/>
      <x:c r="G446" s="26"/>
      <x:c r="H446" s="26"/>
      <x:c r="I446" s="26"/>
      <x:c r="J446" s="26"/>
      <x:c r="K446" s="43"/>
      <x:c r="L446" s="48"/>
      <x:c r="M446" s="48"/>
      <x:c r="N446" s="48"/>
      <x:c r="O446" s="48"/>
      <x:c r="P446" s="48"/>
      <x:c r="Q446" s="48"/>
      <x:c r="R446" s="48"/>
      <x:c r="S446" s="48"/>
      <x:c r="T446" s="48"/>
      <x:c r="U446" s="48"/>
      <x:c r="V446" s="48"/>
      <x:c r="W446" s="47" t="str">
        <x:f>IF(OR(J446="",K446="",L446="",M446=""),"",IF(J446="Long",(M446-L446)*K446,(L446-M446)*K446))</x:f>
      </x:c>
      <x:c r="X446" s="47" t="str">
        <x:f>IF(COUNTA(S446:V446)=0,"",SUM(S446:V446))</x:f>
      </x:c>
      <x:c r="Y446" s="47" t="str">
        <x:f>IF(W446="","",W446-IF(X446="",0,X446))</x:f>
      </x:c>
      <x:c r="Z446" s="47" t="str">
        <x:f>IF(OR(K446="",L446="",N446=""),"",ABS(L446-N446)*K446)</x:f>
      </x:c>
      <x:c r="AA446" s="52" t="str">
        <x:f>IFERROR(Y446/Z446,"")</x:f>
      </x:c>
      <x:c r="AB446" s="26"/>
      <x:c r="AC446" s="26"/>
      <x:c r="AD446" s="55"/>
    </x:row>
    <x:row r="447">
      <x:c r="A447" s="26"/>
      <x:c r="B447" s="26"/>
      <x:c r="C447" s="35"/>
      <x:c r="D447" s="39"/>
      <x:c r="E447" s="39"/>
      <x:c r="F447" s="26"/>
      <x:c r="G447" s="26"/>
      <x:c r="H447" s="26"/>
      <x:c r="I447" s="26"/>
      <x:c r="J447" s="26"/>
      <x:c r="K447" s="43"/>
      <x:c r="L447" s="48"/>
      <x:c r="M447" s="48"/>
      <x:c r="N447" s="48"/>
      <x:c r="O447" s="48"/>
      <x:c r="P447" s="48"/>
      <x:c r="Q447" s="48"/>
      <x:c r="R447" s="48"/>
      <x:c r="S447" s="48"/>
      <x:c r="T447" s="48"/>
      <x:c r="U447" s="48"/>
      <x:c r="V447" s="48"/>
      <x:c r="W447" s="47" t="str">
        <x:f>IF(OR(J447="",K447="",L447="",M447=""),"",IF(J447="Long",(M447-L447)*K447,(L447-M447)*K447))</x:f>
      </x:c>
      <x:c r="X447" s="47" t="str">
        <x:f>IF(COUNTA(S447:V447)=0,"",SUM(S447:V447))</x:f>
      </x:c>
      <x:c r="Y447" s="47" t="str">
        <x:f>IF(W447="","",W447-IF(X447="",0,X447))</x:f>
      </x:c>
      <x:c r="Z447" s="47" t="str">
        <x:f>IF(OR(K447="",L447="",N447=""),"",ABS(L447-N447)*K447)</x:f>
      </x:c>
      <x:c r="AA447" s="52" t="str">
        <x:f>IFERROR(Y447/Z447,"")</x:f>
      </x:c>
      <x:c r="AB447" s="26"/>
      <x:c r="AC447" s="26"/>
      <x:c r="AD447" s="55"/>
    </x:row>
    <x:row r="448">
      <x:c r="A448" s="26"/>
      <x:c r="B448" s="26"/>
      <x:c r="C448" s="35"/>
      <x:c r="D448" s="39"/>
      <x:c r="E448" s="39"/>
      <x:c r="F448" s="26"/>
      <x:c r="G448" s="26"/>
      <x:c r="H448" s="26"/>
      <x:c r="I448" s="26"/>
      <x:c r="J448" s="26"/>
      <x:c r="K448" s="43"/>
      <x:c r="L448" s="48"/>
      <x:c r="M448" s="48"/>
      <x:c r="N448" s="48"/>
      <x:c r="O448" s="48"/>
      <x:c r="P448" s="48"/>
      <x:c r="Q448" s="48"/>
      <x:c r="R448" s="48"/>
      <x:c r="S448" s="48"/>
      <x:c r="T448" s="48"/>
      <x:c r="U448" s="48"/>
      <x:c r="V448" s="48"/>
      <x:c r="W448" s="47" t="str">
        <x:f>IF(OR(J448="",K448="",L448="",M448=""),"",IF(J448="Long",(M448-L448)*K448,(L448-M448)*K448))</x:f>
      </x:c>
      <x:c r="X448" s="47" t="str">
        <x:f>IF(COUNTA(S448:V448)=0,"",SUM(S448:V448))</x:f>
      </x:c>
      <x:c r="Y448" s="47" t="str">
        <x:f>IF(W448="","",W448-IF(X448="",0,X448))</x:f>
      </x:c>
      <x:c r="Z448" s="47" t="str">
        <x:f>IF(OR(K448="",L448="",N448=""),"",ABS(L448-N448)*K448)</x:f>
      </x:c>
      <x:c r="AA448" s="52" t="str">
        <x:f>IFERROR(Y448/Z448,"")</x:f>
      </x:c>
      <x:c r="AB448" s="26"/>
      <x:c r="AC448" s="26"/>
      <x:c r="AD448" s="55"/>
    </x:row>
    <x:row r="449">
      <x:c r="A449" s="26"/>
      <x:c r="B449" s="26"/>
      <x:c r="C449" s="35"/>
      <x:c r="D449" s="39"/>
      <x:c r="E449" s="39"/>
      <x:c r="F449" s="26"/>
      <x:c r="G449" s="26"/>
      <x:c r="H449" s="26"/>
      <x:c r="I449" s="26"/>
      <x:c r="J449" s="26"/>
      <x:c r="K449" s="43"/>
      <x:c r="L449" s="48"/>
      <x:c r="M449" s="48"/>
      <x:c r="N449" s="48"/>
      <x:c r="O449" s="48"/>
      <x:c r="P449" s="48"/>
      <x:c r="Q449" s="48"/>
      <x:c r="R449" s="48"/>
      <x:c r="S449" s="48"/>
      <x:c r="T449" s="48"/>
      <x:c r="U449" s="48"/>
      <x:c r="V449" s="48"/>
      <x:c r="W449" s="47" t="str">
        <x:f>IF(OR(J449="",K449="",L449="",M449=""),"",IF(J449="Long",(M449-L449)*K449,(L449-M449)*K449))</x:f>
      </x:c>
      <x:c r="X449" s="47" t="str">
        <x:f>IF(COUNTA(S449:V449)=0,"",SUM(S449:V449))</x:f>
      </x:c>
      <x:c r="Y449" s="47" t="str">
        <x:f>IF(W449="","",W449-IF(X449="",0,X449))</x:f>
      </x:c>
      <x:c r="Z449" s="47" t="str">
        <x:f>IF(OR(K449="",L449="",N449=""),"",ABS(L449-N449)*K449)</x:f>
      </x:c>
      <x:c r="AA449" s="52" t="str">
        <x:f>IFERROR(Y449/Z449,"")</x:f>
      </x:c>
      <x:c r="AB449" s="26"/>
      <x:c r="AC449" s="26"/>
      <x:c r="AD449" s="55"/>
    </x:row>
    <x:row r="450">
      <x:c r="A450" s="26"/>
      <x:c r="B450" s="26"/>
      <x:c r="C450" s="35"/>
      <x:c r="D450" s="39"/>
      <x:c r="E450" s="39"/>
      <x:c r="F450" s="26"/>
      <x:c r="G450" s="26"/>
      <x:c r="H450" s="26"/>
      <x:c r="I450" s="26"/>
      <x:c r="J450" s="26"/>
      <x:c r="K450" s="43"/>
      <x:c r="L450" s="48"/>
      <x:c r="M450" s="48"/>
      <x:c r="N450" s="48"/>
      <x:c r="O450" s="48"/>
      <x:c r="P450" s="48"/>
      <x:c r="Q450" s="48"/>
      <x:c r="R450" s="48"/>
      <x:c r="S450" s="48"/>
      <x:c r="T450" s="48"/>
      <x:c r="U450" s="48"/>
      <x:c r="V450" s="48"/>
      <x:c r="W450" s="47" t="str">
        <x:f>IF(OR(J450="",K450="",L450="",M450=""),"",IF(J450="Long",(M450-L450)*K450,(L450-M450)*K450))</x:f>
      </x:c>
      <x:c r="X450" s="47" t="str">
        <x:f>IF(COUNTA(S450:V450)=0,"",SUM(S450:V450))</x:f>
      </x:c>
      <x:c r="Y450" s="47" t="str">
        <x:f>IF(W450="","",W450-IF(X450="",0,X450))</x:f>
      </x:c>
      <x:c r="Z450" s="47" t="str">
        <x:f>IF(OR(K450="",L450="",N450=""),"",ABS(L450-N450)*K450)</x:f>
      </x:c>
      <x:c r="AA450" s="52" t="str">
        <x:f>IFERROR(Y450/Z450,"")</x:f>
      </x:c>
      <x:c r="AB450" s="26"/>
      <x:c r="AC450" s="26"/>
      <x:c r="AD450" s="55"/>
    </x:row>
    <x:row r="451">
      <x:c r="A451" s="26"/>
      <x:c r="B451" s="26"/>
      <x:c r="C451" s="35"/>
      <x:c r="D451" s="39"/>
      <x:c r="E451" s="39"/>
      <x:c r="F451" s="26"/>
      <x:c r="G451" s="26"/>
      <x:c r="H451" s="26"/>
      <x:c r="I451" s="26"/>
      <x:c r="J451" s="26"/>
      <x:c r="K451" s="43"/>
      <x:c r="L451" s="48"/>
      <x:c r="M451" s="48"/>
      <x:c r="N451" s="48"/>
      <x:c r="O451" s="48"/>
      <x:c r="P451" s="48"/>
      <x:c r="Q451" s="48"/>
      <x:c r="R451" s="48"/>
      <x:c r="S451" s="48"/>
      <x:c r="T451" s="48"/>
      <x:c r="U451" s="48"/>
      <x:c r="V451" s="48"/>
      <x:c r="W451" s="47" t="str">
        <x:f>IF(OR(J451="",K451="",L451="",M451=""),"",IF(J451="Long",(M451-L451)*K451,(L451-M451)*K451))</x:f>
      </x:c>
      <x:c r="X451" s="47" t="str">
        <x:f>IF(COUNTA(S451:V451)=0,"",SUM(S451:V451))</x:f>
      </x:c>
      <x:c r="Y451" s="47" t="str">
        <x:f>IF(W451="","",W451-IF(X451="",0,X451))</x:f>
      </x:c>
      <x:c r="Z451" s="47" t="str">
        <x:f>IF(OR(K451="",L451="",N451=""),"",ABS(L451-N451)*K451)</x:f>
      </x:c>
      <x:c r="AA451" s="52" t="str">
        <x:f>IFERROR(Y451/Z451,"")</x:f>
      </x:c>
      <x:c r="AB451" s="26"/>
      <x:c r="AC451" s="26"/>
      <x:c r="AD451" s="55"/>
    </x:row>
    <x:row r="452">
      <x:c r="A452" s="26"/>
      <x:c r="B452" s="26"/>
      <x:c r="C452" s="35"/>
      <x:c r="D452" s="39"/>
      <x:c r="E452" s="39"/>
      <x:c r="F452" s="26"/>
      <x:c r="G452" s="26"/>
      <x:c r="H452" s="26"/>
      <x:c r="I452" s="26"/>
      <x:c r="J452" s="26"/>
      <x:c r="K452" s="43"/>
      <x:c r="L452" s="48"/>
      <x:c r="M452" s="48"/>
      <x:c r="N452" s="48"/>
      <x:c r="O452" s="48"/>
      <x:c r="P452" s="48"/>
      <x:c r="Q452" s="48"/>
      <x:c r="R452" s="48"/>
      <x:c r="S452" s="48"/>
      <x:c r="T452" s="48"/>
      <x:c r="U452" s="48"/>
      <x:c r="V452" s="48"/>
      <x:c r="W452" s="47" t="str">
        <x:f>IF(OR(J452="",K452="",L452="",M452=""),"",IF(J452="Long",(M452-L452)*K452,(L452-M452)*K452))</x:f>
      </x:c>
      <x:c r="X452" s="47" t="str">
        <x:f>IF(COUNTA(S452:V452)=0,"",SUM(S452:V452))</x:f>
      </x:c>
      <x:c r="Y452" s="47" t="str">
        <x:f>IF(W452="","",W452-IF(X452="",0,X452))</x:f>
      </x:c>
      <x:c r="Z452" s="47" t="str">
        <x:f>IF(OR(K452="",L452="",N452=""),"",ABS(L452-N452)*K452)</x:f>
      </x:c>
      <x:c r="AA452" s="52" t="str">
        <x:f>IFERROR(Y452/Z452,"")</x:f>
      </x:c>
      <x:c r="AB452" s="26"/>
      <x:c r="AC452" s="26"/>
      <x:c r="AD452" s="55"/>
    </x:row>
    <x:row r="453">
      <x:c r="A453" s="26"/>
      <x:c r="B453" s="26"/>
      <x:c r="C453" s="35"/>
      <x:c r="D453" s="39"/>
      <x:c r="E453" s="39"/>
      <x:c r="F453" s="26"/>
      <x:c r="G453" s="26"/>
      <x:c r="H453" s="26"/>
      <x:c r="I453" s="26"/>
      <x:c r="J453" s="26"/>
      <x:c r="K453" s="43"/>
      <x:c r="L453" s="48"/>
      <x:c r="M453" s="48"/>
      <x:c r="N453" s="48"/>
      <x:c r="O453" s="48"/>
      <x:c r="P453" s="48"/>
      <x:c r="Q453" s="48"/>
      <x:c r="R453" s="48"/>
      <x:c r="S453" s="48"/>
      <x:c r="T453" s="48"/>
      <x:c r="U453" s="48"/>
      <x:c r="V453" s="48"/>
      <x:c r="W453" s="47" t="str">
        <x:f>IF(OR(J453="",K453="",L453="",M453=""),"",IF(J453="Long",(M453-L453)*K453,(L453-M453)*K453))</x:f>
      </x:c>
      <x:c r="X453" s="47" t="str">
        <x:f>IF(COUNTA(S453:V453)=0,"",SUM(S453:V453))</x:f>
      </x:c>
      <x:c r="Y453" s="47" t="str">
        <x:f>IF(W453="","",W453-IF(X453="",0,X453))</x:f>
      </x:c>
      <x:c r="Z453" s="47" t="str">
        <x:f>IF(OR(K453="",L453="",N453=""),"",ABS(L453-N453)*K453)</x:f>
      </x:c>
      <x:c r="AA453" s="52" t="str">
        <x:f>IFERROR(Y453/Z453,"")</x:f>
      </x:c>
      <x:c r="AB453" s="26"/>
      <x:c r="AC453" s="26"/>
      <x:c r="AD453" s="55"/>
    </x:row>
    <x:row r="454">
      <x:c r="A454" s="26"/>
      <x:c r="B454" s="26"/>
      <x:c r="C454" s="35"/>
      <x:c r="D454" s="39"/>
      <x:c r="E454" s="39"/>
      <x:c r="F454" s="26"/>
      <x:c r="G454" s="26"/>
      <x:c r="H454" s="26"/>
      <x:c r="I454" s="26"/>
      <x:c r="J454" s="26"/>
      <x:c r="K454" s="43"/>
      <x:c r="L454" s="48"/>
      <x:c r="M454" s="48"/>
      <x:c r="N454" s="48"/>
      <x:c r="O454" s="48"/>
      <x:c r="P454" s="48"/>
      <x:c r="Q454" s="48"/>
      <x:c r="R454" s="48"/>
      <x:c r="S454" s="48"/>
      <x:c r="T454" s="48"/>
      <x:c r="U454" s="48"/>
      <x:c r="V454" s="48"/>
      <x:c r="W454" s="47" t="str">
        <x:f>IF(OR(J454="",K454="",L454="",M454=""),"",IF(J454="Long",(M454-L454)*K454,(L454-M454)*K454))</x:f>
      </x:c>
      <x:c r="X454" s="47" t="str">
        <x:f>IF(COUNTA(S454:V454)=0,"",SUM(S454:V454))</x:f>
      </x:c>
      <x:c r="Y454" s="47" t="str">
        <x:f>IF(W454="","",W454-IF(X454="",0,X454))</x:f>
      </x:c>
      <x:c r="Z454" s="47" t="str">
        <x:f>IF(OR(K454="",L454="",N454=""),"",ABS(L454-N454)*K454)</x:f>
      </x:c>
      <x:c r="AA454" s="52" t="str">
        <x:f>IFERROR(Y454/Z454,"")</x:f>
      </x:c>
      <x:c r="AB454" s="26"/>
      <x:c r="AC454" s="26"/>
      <x:c r="AD454" s="55"/>
    </x:row>
    <x:row r="455">
      <x:c r="A455" s="26"/>
      <x:c r="B455" s="26"/>
      <x:c r="C455" s="35"/>
      <x:c r="D455" s="39"/>
      <x:c r="E455" s="39"/>
      <x:c r="F455" s="26"/>
      <x:c r="G455" s="26"/>
      <x:c r="H455" s="26"/>
      <x:c r="I455" s="26"/>
      <x:c r="J455" s="26"/>
      <x:c r="K455" s="43"/>
      <x:c r="L455" s="48"/>
      <x:c r="M455" s="48"/>
      <x:c r="N455" s="48"/>
      <x:c r="O455" s="48"/>
      <x:c r="P455" s="48"/>
      <x:c r="Q455" s="48"/>
      <x:c r="R455" s="48"/>
      <x:c r="S455" s="48"/>
      <x:c r="T455" s="48"/>
      <x:c r="U455" s="48"/>
      <x:c r="V455" s="48"/>
      <x:c r="W455" s="47" t="str">
        <x:f>IF(OR(J455="",K455="",L455="",M455=""),"",IF(J455="Long",(M455-L455)*K455,(L455-M455)*K455))</x:f>
      </x:c>
      <x:c r="X455" s="47" t="str">
        <x:f>IF(COUNTA(S455:V455)=0,"",SUM(S455:V455))</x:f>
      </x:c>
      <x:c r="Y455" s="47" t="str">
        <x:f>IF(W455="","",W455-IF(X455="",0,X455))</x:f>
      </x:c>
      <x:c r="Z455" s="47" t="str">
        <x:f>IF(OR(K455="",L455="",N455=""),"",ABS(L455-N455)*K455)</x:f>
      </x:c>
      <x:c r="AA455" s="52" t="str">
        <x:f>IFERROR(Y455/Z455,"")</x:f>
      </x:c>
      <x:c r="AB455" s="26"/>
      <x:c r="AC455" s="26"/>
      <x:c r="AD455" s="55"/>
    </x:row>
    <x:row r="456">
      <x:c r="A456" s="26"/>
      <x:c r="B456" s="26"/>
      <x:c r="C456" s="35"/>
      <x:c r="D456" s="39"/>
      <x:c r="E456" s="39"/>
      <x:c r="F456" s="26"/>
      <x:c r="G456" s="26"/>
      <x:c r="H456" s="26"/>
      <x:c r="I456" s="26"/>
      <x:c r="J456" s="26"/>
      <x:c r="K456" s="43"/>
      <x:c r="L456" s="48"/>
      <x:c r="M456" s="48"/>
      <x:c r="N456" s="48"/>
      <x:c r="O456" s="48"/>
      <x:c r="P456" s="48"/>
      <x:c r="Q456" s="48"/>
      <x:c r="R456" s="48"/>
      <x:c r="S456" s="48"/>
      <x:c r="T456" s="48"/>
      <x:c r="U456" s="48"/>
      <x:c r="V456" s="48"/>
      <x:c r="W456" s="47" t="str">
        <x:f>IF(OR(J456="",K456="",L456="",M456=""),"",IF(J456="Long",(M456-L456)*K456,(L456-M456)*K456))</x:f>
      </x:c>
      <x:c r="X456" s="47" t="str">
        <x:f>IF(COUNTA(S456:V456)=0,"",SUM(S456:V456))</x:f>
      </x:c>
      <x:c r="Y456" s="47" t="str">
        <x:f>IF(W456="","",W456-IF(X456="",0,X456))</x:f>
      </x:c>
      <x:c r="Z456" s="47" t="str">
        <x:f>IF(OR(K456="",L456="",N456=""),"",ABS(L456-N456)*K456)</x:f>
      </x:c>
      <x:c r="AA456" s="52" t="str">
        <x:f>IFERROR(Y456/Z456,"")</x:f>
      </x:c>
      <x:c r="AB456" s="26"/>
      <x:c r="AC456" s="26"/>
      <x:c r="AD456" s="55"/>
    </x:row>
    <x:row r="457">
      <x:c r="A457" s="26"/>
      <x:c r="B457" s="26"/>
      <x:c r="C457" s="35"/>
      <x:c r="D457" s="39"/>
      <x:c r="E457" s="39"/>
      <x:c r="F457" s="26"/>
      <x:c r="G457" s="26"/>
      <x:c r="H457" s="26"/>
      <x:c r="I457" s="26"/>
      <x:c r="J457" s="26"/>
      <x:c r="K457" s="43"/>
      <x:c r="L457" s="48"/>
      <x:c r="M457" s="48"/>
      <x:c r="N457" s="48"/>
      <x:c r="O457" s="48"/>
      <x:c r="P457" s="48"/>
      <x:c r="Q457" s="48"/>
      <x:c r="R457" s="48"/>
      <x:c r="S457" s="48"/>
      <x:c r="T457" s="48"/>
      <x:c r="U457" s="48"/>
      <x:c r="V457" s="48"/>
      <x:c r="W457" s="47" t="str">
        <x:f>IF(OR(J457="",K457="",L457="",M457=""),"",IF(J457="Long",(M457-L457)*K457,(L457-M457)*K457))</x:f>
      </x:c>
      <x:c r="X457" s="47" t="str">
        <x:f>IF(COUNTA(S457:V457)=0,"",SUM(S457:V457))</x:f>
      </x:c>
      <x:c r="Y457" s="47" t="str">
        <x:f>IF(W457="","",W457-IF(X457="",0,X457))</x:f>
      </x:c>
      <x:c r="Z457" s="47" t="str">
        <x:f>IF(OR(K457="",L457="",N457=""),"",ABS(L457-N457)*K457)</x:f>
      </x:c>
      <x:c r="AA457" s="52" t="str">
        <x:f>IFERROR(Y457/Z457,"")</x:f>
      </x:c>
      <x:c r="AB457" s="26"/>
      <x:c r="AC457" s="26"/>
      <x:c r="AD457" s="55"/>
    </x:row>
    <x:row r="458">
      <x:c r="A458" s="26"/>
      <x:c r="B458" s="26"/>
      <x:c r="C458" s="35"/>
      <x:c r="D458" s="39"/>
      <x:c r="E458" s="39"/>
      <x:c r="F458" s="26"/>
      <x:c r="G458" s="26"/>
      <x:c r="H458" s="26"/>
      <x:c r="I458" s="26"/>
      <x:c r="J458" s="26"/>
      <x:c r="K458" s="43"/>
      <x:c r="L458" s="48"/>
      <x:c r="M458" s="48"/>
      <x:c r="N458" s="48"/>
      <x:c r="O458" s="48"/>
      <x:c r="P458" s="48"/>
      <x:c r="Q458" s="48"/>
      <x:c r="R458" s="48"/>
      <x:c r="S458" s="48"/>
      <x:c r="T458" s="48"/>
      <x:c r="U458" s="48"/>
      <x:c r="V458" s="48"/>
      <x:c r="W458" s="47" t="str">
        <x:f>IF(OR(J458="",K458="",L458="",M458=""),"",IF(J458="Long",(M458-L458)*K458,(L458-M458)*K458))</x:f>
      </x:c>
      <x:c r="X458" s="47" t="str">
        <x:f>IF(COUNTA(S458:V458)=0,"",SUM(S458:V458))</x:f>
      </x:c>
      <x:c r="Y458" s="47" t="str">
        <x:f>IF(W458="","",W458-IF(X458="",0,X458))</x:f>
      </x:c>
      <x:c r="Z458" s="47" t="str">
        <x:f>IF(OR(K458="",L458="",N458=""),"",ABS(L458-N458)*K458)</x:f>
      </x:c>
      <x:c r="AA458" s="52" t="str">
        <x:f>IFERROR(Y458/Z458,"")</x:f>
      </x:c>
      <x:c r="AB458" s="26"/>
      <x:c r="AC458" s="26"/>
      <x:c r="AD458" s="55"/>
    </x:row>
    <x:row r="459">
      <x:c r="A459" s="26"/>
      <x:c r="B459" s="26"/>
      <x:c r="C459" s="35"/>
      <x:c r="D459" s="39"/>
      <x:c r="E459" s="39"/>
      <x:c r="F459" s="26"/>
      <x:c r="G459" s="26"/>
      <x:c r="H459" s="26"/>
      <x:c r="I459" s="26"/>
      <x:c r="J459" s="26"/>
      <x:c r="K459" s="43"/>
      <x:c r="L459" s="48"/>
      <x:c r="M459" s="48"/>
      <x:c r="N459" s="48"/>
      <x:c r="O459" s="48"/>
      <x:c r="P459" s="48"/>
      <x:c r="Q459" s="48"/>
      <x:c r="R459" s="48"/>
      <x:c r="S459" s="48"/>
      <x:c r="T459" s="48"/>
      <x:c r="U459" s="48"/>
      <x:c r="V459" s="48"/>
      <x:c r="W459" s="47" t="str">
        <x:f>IF(OR(J459="",K459="",L459="",M459=""),"",IF(J459="Long",(M459-L459)*K459,(L459-M459)*K459))</x:f>
      </x:c>
      <x:c r="X459" s="47" t="str">
        <x:f>IF(COUNTA(S459:V459)=0,"",SUM(S459:V459))</x:f>
      </x:c>
      <x:c r="Y459" s="47" t="str">
        <x:f>IF(W459="","",W459-IF(X459="",0,X459))</x:f>
      </x:c>
      <x:c r="Z459" s="47" t="str">
        <x:f>IF(OR(K459="",L459="",N459=""),"",ABS(L459-N459)*K459)</x:f>
      </x:c>
      <x:c r="AA459" s="52" t="str">
        <x:f>IFERROR(Y459/Z459,"")</x:f>
      </x:c>
      <x:c r="AB459" s="26"/>
      <x:c r="AC459" s="26"/>
      <x:c r="AD459" s="55"/>
    </x:row>
    <x:row r="460">
      <x:c r="A460" s="26"/>
      <x:c r="B460" s="26"/>
      <x:c r="C460" s="35"/>
      <x:c r="D460" s="39"/>
      <x:c r="E460" s="39"/>
      <x:c r="F460" s="26"/>
      <x:c r="G460" s="26"/>
      <x:c r="H460" s="26"/>
      <x:c r="I460" s="26"/>
      <x:c r="J460" s="26"/>
      <x:c r="K460" s="43"/>
      <x:c r="L460" s="48"/>
      <x:c r="M460" s="48"/>
      <x:c r="N460" s="48"/>
      <x:c r="O460" s="48"/>
      <x:c r="P460" s="48"/>
      <x:c r="Q460" s="48"/>
      <x:c r="R460" s="48"/>
      <x:c r="S460" s="48"/>
      <x:c r="T460" s="48"/>
      <x:c r="U460" s="48"/>
      <x:c r="V460" s="48"/>
      <x:c r="W460" s="47" t="str">
        <x:f>IF(OR(J460="",K460="",L460="",M460=""),"",IF(J460="Long",(M460-L460)*K460,(L460-M460)*K460))</x:f>
      </x:c>
      <x:c r="X460" s="47" t="str">
        <x:f>IF(COUNTA(S460:V460)=0,"",SUM(S460:V460))</x:f>
      </x:c>
      <x:c r="Y460" s="47" t="str">
        <x:f>IF(W460="","",W460-IF(X460="",0,X460))</x:f>
      </x:c>
      <x:c r="Z460" s="47" t="str">
        <x:f>IF(OR(K460="",L460="",N460=""),"",ABS(L460-N460)*K460)</x:f>
      </x:c>
      <x:c r="AA460" s="52" t="str">
        <x:f>IFERROR(Y460/Z460,"")</x:f>
      </x:c>
      <x:c r="AB460" s="26"/>
      <x:c r="AC460" s="26"/>
      <x:c r="AD460" s="55"/>
    </x:row>
    <x:row r="461">
      <x:c r="A461" s="26"/>
      <x:c r="B461" s="26"/>
      <x:c r="C461" s="35"/>
      <x:c r="D461" s="39"/>
      <x:c r="E461" s="39"/>
      <x:c r="F461" s="26"/>
      <x:c r="G461" s="26"/>
      <x:c r="H461" s="26"/>
      <x:c r="I461" s="26"/>
      <x:c r="J461" s="26"/>
      <x:c r="K461" s="43"/>
      <x:c r="L461" s="48"/>
      <x:c r="M461" s="48"/>
      <x:c r="N461" s="48"/>
      <x:c r="O461" s="48"/>
      <x:c r="P461" s="48"/>
      <x:c r="Q461" s="48"/>
      <x:c r="R461" s="48"/>
      <x:c r="S461" s="48"/>
      <x:c r="T461" s="48"/>
      <x:c r="U461" s="48"/>
      <x:c r="V461" s="48"/>
      <x:c r="W461" s="47" t="str">
        <x:f>IF(OR(J461="",K461="",L461="",M461=""),"",IF(J461="Long",(M461-L461)*K461,(L461-M461)*K461))</x:f>
      </x:c>
      <x:c r="X461" s="47" t="str">
        <x:f>IF(COUNTA(S461:V461)=0,"",SUM(S461:V461))</x:f>
      </x:c>
      <x:c r="Y461" s="47" t="str">
        <x:f>IF(W461="","",W461-IF(X461="",0,X461))</x:f>
      </x:c>
      <x:c r="Z461" s="47" t="str">
        <x:f>IF(OR(K461="",L461="",N461=""),"",ABS(L461-N461)*K461)</x:f>
      </x:c>
      <x:c r="AA461" s="52" t="str">
        <x:f>IFERROR(Y461/Z461,"")</x:f>
      </x:c>
      <x:c r="AB461" s="26"/>
      <x:c r="AC461" s="26"/>
      <x:c r="AD461" s="55"/>
    </x:row>
    <x:row r="462">
      <x:c r="A462" s="26"/>
      <x:c r="B462" s="26"/>
      <x:c r="C462" s="35"/>
      <x:c r="D462" s="39"/>
      <x:c r="E462" s="39"/>
      <x:c r="F462" s="26"/>
      <x:c r="G462" s="26"/>
      <x:c r="H462" s="26"/>
      <x:c r="I462" s="26"/>
      <x:c r="J462" s="26"/>
      <x:c r="K462" s="43"/>
      <x:c r="L462" s="48"/>
      <x:c r="M462" s="48"/>
      <x:c r="N462" s="48"/>
      <x:c r="O462" s="48"/>
      <x:c r="P462" s="48"/>
      <x:c r="Q462" s="48"/>
      <x:c r="R462" s="48"/>
      <x:c r="S462" s="48"/>
      <x:c r="T462" s="48"/>
      <x:c r="U462" s="48"/>
      <x:c r="V462" s="48"/>
      <x:c r="W462" s="47" t="str">
        <x:f>IF(OR(J462="",K462="",L462="",M462=""),"",IF(J462="Long",(M462-L462)*K462,(L462-M462)*K462))</x:f>
      </x:c>
      <x:c r="X462" s="47" t="str">
        <x:f>IF(COUNTA(S462:V462)=0,"",SUM(S462:V462))</x:f>
      </x:c>
      <x:c r="Y462" s="47" t="str">
        <x:f>IF(W462="","",W462-IF(X462="",0,X462))</x:f>
      </x:c>
      <x:c r="Z462" s="47" t="str">
        <x:f>IF(OR(K462="",L462="",N462=""),"",ABS(L462-N462)*K462)</x:f>
      </x:c>
      <x:c r="AA462" s="52" t="str">
        <x:f>IFERROR(Y462/Z462,"")</x:f>
      </x:c>
      <x:c r="AB462" s="26"/>
      <x:c r="AC462" s="26"/>
      <x:c r="AD462" s="55"/>
    </x:row>
    <x:row r="463">
      <x:c r="A463" s="26"/>
      <x:c r="B463" s="26"/>
      <x:c r="C463" s="35"/>
      <x:c r="D463" s="39"/>
      <x:c r="E463" s="39"/>
      <x:c r="F463" s="26"/>
      <x:c r="G463" s="26"/>
      <x:c r="H463" s="26"/>
      <x:c r="I463" s="26"/>
      <x:c r="J463" s="26"/>
      <x:c r="K463" s="43"/>
      <x:c r="L463" s="48"/>
      <x:c r="M463" s="48"/>
      <x:c r="N463" s="48"/>
      <x:c r="O463" s="48"/>
      <x:c r="P463" s="48"/>
      <x:c r="Q463" s="48"/>
      <x:c r="R463" s="48"/>
      <x:c r="S463" s="48"/>
      <x:c r="T463" s="48"/>
      <x:c r="U463" s="48"/>
      <x:c r="V463" s="48"/>
      <x:c r="W463" s="47" t="str">
        <x:f>IF(OR(J463="",K463="",L463="",M463=""),"",IF(J463="Long",(M463-L463)*K463,(L463-M463)*K463))</x:f>
      </x:c>
      <x:c r="X463" s="47" t="str">
        <x:f>IF(COUNTA(S463:V463)=0,"",SUM(S463:V463))</x:f>
      </x:c>
      <x:c r="Y463" s="47" t="str">
        <x:f>IF(W463="","",W463-IF(X463="",0,X463))</x:f>
      </x:c>
      <x:c r="Z463" s="47" t="str">
        <x:f>IF(OR(K463="",L463="",N463=""),"",ABS(L463-N463)*K463)</x:f>
      </x:c>
      <x:c r="AA463" s="52" t="str">
        <x:f>IFERROR(Y463/Z463,"")</x:f>
      </x:c>
      <x:c r="AB463" s="26"/>
      <x:c r="AC463" s="26"/>
      <x:c r="AD463" s="55"/>
    </x:row>
    <x:row r="464">
      <x:c r="A464" s="26"/>
      <x:c r="B464" s="26"/>
      <x:c r="C464" s="35"/>
      <x:c r="D464" s="39"/>
      <x:c r="E464" s="39"/>
      <x:c r="F464" s="26"/>
      <x:c r="G464" s="26"/>
      <x:c r="H464" s="26"/>
      <x:c r="I464" s="26"/>
      <x:c r="J464" s="26"/>
      <x:c r="K464" s="43"/>
      <x:c r="L464" s="48"/>
      <x:c r="M464" s="48"/>
      <x:c r="N464" s="48"/>
      <x:c r="O464" s="48"/>
      <x:c r="P464" s="48"/>
      <x:c r="Q464" s="48"/>
      <x:c r="R464" s="48"/>
      <x:c r="S464" s="48"/>
      <x:c r="T464" s="48"/>
      <x:c r="U464" s="48"/>
      <x:c r="V464" s="48"/>
      <x:c r="W464" s="47" t="str">
        <x:f>IF(OR(J464="",K464="",L464="",M464=""),"",IF(J464="Long",(M464-L464)*K464,(L464-M464)*K464))</x:f>
      </x:c>
      <x:c r="X464" s="47" t="str">
        <x:f>IF(COUNTA(S464:V464)=0,"",SUM(S464:V464))</x:f>
      </x:c>
      <x:c r="Y464" s="47" t="str">
        <x:f>IF(W464="","",W464-IF(X464="",0,X464))</x:f>
      </x:c>
      <x:c r="Z464" s="47" t="str">
        <x:f>IF(OR(K464="",L464="",N464=""),"",ABS(L464-N464)*K464)</x:f>
      </x:c>
      <x:c r="AA464" s="52" t="str">
        <x:f>IFERROR(Y464/Z464,"")</x:f>
      </x:c>
      <x:c r="AB464" s="26"/>
      <x:c r="AC464" s="26"/>
      <x:c r="AD464" s="55"/>
    </x:row>
    <x:row r="465">
      <x:c r="A465" s="26"/>
      <x:c r="B465" s="26"/>
      <x:c r="C465" s="35"/>
      <x:c r="D465" s="39"/>
      <x:c r="E465" s="39"/>
      <x:c r="F465" s="26"/>
      <x:c r="G465" s="26"/>
      <x:c r="H465" s="26"/>
      <x:c r="I465" s="26"/>
      <x:c r="J465" s="26"/>
      <x:c r="K465" s="43"/>
      <x:c r="L465" s="48"/>
      <x:c r="M465" s="48"/>
      <x:c r="N465" s="48"/>
      <x:c r="O465" s="48"/>
      <x:c r="P465" s="48"/>
      <x:c r="Q465" s="48"/>
      <x:c r="R465" s="48"/>
      <x:c r="S465" s="48"/>
      <x:c r="T465" s="48"/>
      <x:c r="U465" s="48"/>
      <x:c r="V465" s="48"/>
      <x:c r="W465" s="47" t="str">
        <x:f>IF(OR(J465="",K465="",L465="",M465=""),"",IF(J465="Long",(M465-L465)*K465,(L465-M465)*K465))</x:f>
      </x:c>
      <x:c r="X465" s="47" t="str">
        <x:f>IF(COUNTA(S465:V465)=0,"",SUM(S465:V465))</x:f>
      </x:c>
      <x:c r="Y465" s="47" t="str">
        <x:f>IF(W465="","",W465-IF(X465="",0,X465))</x:f>
      </x:c>
      <x:c r="Z465" s="47" t="str">
        <x:f>IF(OR(K465="",L465="",N465=""),"",ABS(L465-N465)*K465)</x:f>
      </x:c>
      <x:c r="AA465" s="52" t="str">
        <x:f>IFERROR(Y465/Z465,"")</x:f>
      </x:c>
      <x:c r="AB465" s="26"/>
      <x:c r="AC465" s="26"/>
      <x:c r="AD465" s="55"/>
    </x:row>
    <x:row r="466">
      <x:c r="A466" s="26"/>
      <x:c r="B466" s="26"/>
      <x:c r="C466" s="35"/>
      <x:c r="D466" s="39"/>
      <x:c r="E466" s="39"/>
      <x:c r="F466" s="26"/>
      <x:c r="G466" s="26"/>
      <x:c r="H466" s="26"/>
      <x:c r="I466" s="26"/>
      <x:c r="J466" s="26"/>
      <x:c r="K466" s="43"/>
      <x:c r="L466" s="48"/>
      <x:c r="M466" s="48"/>
      <x:c r="N466" s="48"/>
      <x:c r="O466" s="48"/>
      <x:c r="P466" s="48"/>
      <x:c r="Q466" s="48"/>
      <x:c r="R466" s="48"/>
      <x:c r="S466" s="48"/>
      <x:c r="T466" s="48"/>
      <x:c r="U466" s="48"/>
      <x:c r="V466" s="48"/>
      <x:c r="W466" s="47" t="str">
        <x:f>IF(OR(J466="",K466="",L466="",M466=""),"",IF(J466="Long",(M466-L466)*K466,(L466-M466)*K466))</x:f>
      </x:c>
      <x:c r="X466" s="47" t="str">
        <x:f>IF(COUNTA(S466:V466)=0,"",SUM(S466:V466))</x:f>
      </x:c>
      <x:c r="Y466" s="47" t="str">
        <x:f>IF(W466="","",W466-IF(X466="",0,X466))</x:f>
      </x:c>
      <x:c r="Z466" s="47" t="str">
        <x:f>IF(OR(K466="",L466="",N466=""),"",ABS(L466-N466)*K466)</x:f>
      </x:c>
      <x:c r="AA466" s="52" t="str">
        <x:f>IFERROR(Y466/Z466,"")</x:f>
      </x:c>
      <x:c r="AB466" s="26"/>
      <x:c r="AC466" s="26"/>
      <x:c r="AD466" s="55"/>
    </x:row>
    <x:row r="467">
      <x:c r="A467" s="26"/>
      <x:c r="B467" s="26"/>
      <x:c r="C467" s="35"/>
      <x:c r="D467" s="39"/>
      <x:c r="E467" s="39"/>
      <x:c r="F467" s="26"/>
      <x:c r="G467" s="26"/>
      <x:c r="H467" s="26"/>
      <x:c r="I467" s="26"/>
      <x:c r="J467" s="26"/>
      <x:c r="K467" s="43"/>
      <x:c r="L467" s="48"/>
      <x:c r="M467" s="48"/>
      <x:c r="N467" s="48"/>
      <x:c r="O467" s="48"/>
      <x:c r="P467" s="48"/>
      <x:c r="Q467" s="48"/>
      <x:c r="R467" s="48"/>
      <x:c r="S467" s="48"/>
      <x:c r="T467" s="48"/>
      <x:c r="U467" s="48"/>
      <x:c r="V467" s="48"/>
      <x:c r="W467" s="47" t="str">
        <x:f>IF(OR(J467="",K467="",L467="",M467=""),"",IF(J467="Long",(M467-L467)*K467,(L467-M467)*K467))</x:f>
      </x:c>
      <x:c r="X467" s="47" t="str">
        <x:f>IF(COUNTA(S467:V467)=0,"",SUM(S467:V467))</x:f>
      </x:c>
      <x:c r="Y467" s="47" t="str">
        <x:f>IF(W467="","",W467-IF(X467="",0,X467))</x:f>
      </x:c>
      <x:c r="Z467" s="47" t="str">
        <x:f>IF(OR(K467="",L467="",N467=""),"",ABS(L467-N467)*K467)</x:f>
      </x:c>
      <x:c r="AA467" s="52" t="str">
        <x:f>IFERROR(Y467/Z467,"")</x:f>
      </x:c>
      <x:c r="AB467" s="26"/>
      <x:c r="AC467" s="26"/>
      <x:c r="AD467" s="55"/>
    </x:row>
    <x:row r="468">
      <x:c r="A468" s="26"/>
      <x:c r="B468" s="26"/>
      <x:c r="C468" s="35"/>
      <x:c r="D468" s="39"/>
      <x:c r="E468" s="39"/>
      <x:c r="F468" s="26"/>
      <x:c r="G468" s="26"/>
      <x:c r="H468" s="26"/>
      <x:c r="I468" s="26"/>
      <x:c r="J468" s="26"/>
      <x:c r="K468" s="43"/>
      <x:c r="L468" s="48"/>
      <x:c r="M468" s="48"/>
      <x:c r="N468" s="48"/>
      <x:c r="O468" s="48"/>
      <x:c r="P468" s="48"/>
      <x:c r="Q468" s="48"/>
      <x:c r="R468" s="48"/>
      <x:c r="S468" s="48"/>
      <x:c r="T468" s="48"/>
      <x:c r="U468" s="48"/>
      <x:c r="V468" s="48"/>
      <x:c r="W468" s="47" t="str">
        <x:f>IF(OR(J468="",K468="",L468="",M468=""),"",IF(J468="Long",(M468-L468)*K468,(L468-M468)*K468))</x:f>
      </x:c>
      <x:c r="X468" s="47" t="str">
        <x:f>IF(COUNTA(S468:V468)=0,"",SUM(S468:V468))</x:f>
      </x:c>
      <x:c r="Y468" s="47" t="str">
        <x:f>IF(W468="","",W468-IF(X468="",0,X468))</x:f>
      </x:c>
      <x:c r="Z468" s="47" t="str">
        <x:f>IF(OR(K468="",L468="",N468=""),"",ABS(L468-N468)*K468)</x:f>
      </x:c>
      <x:c r="AA468" s="52" t="str">
        <x:f>IFERROR(Y468/Z468,"")</x:f>
      </x:c>
      <x:c r="AB468" s="26"/>
      <x:c r="AC468" s="26"/>
      <x:c r="AD468" s="55"/>
    </x:row>
    <x:row r="469">
      <x:c r="A469" s="26"/>
      <x:c r="B469" s="26"/>
      <x:c r="C469" s="35"/>
      <x:c r="D469" s="39"/>
      <x:c r="E469" s="39"/>
      <x:c r="F469" s="26"/>
      <x:c r="G469" s="26"/>
      <x:c r="H469" s="26"/>
      <x:c r="I469" s="26"/>
      <x:c r="J469" s="26"/>
      <x:c r="K469" s="43"/>
      <x:c r="L469" s="48"/>
      <x:c r="M469" s="48"/>
      <x:c r="N469" s="48"/>
      <x:c r="O469" s="48"/>
      <x:c r="P469" s="48"/>
      <x:c r="Q469" s="48"/>
      <x:c r="R469" s="48"/>
      <x:c r="S469" s="48"/>
      <x:c r="T469" s="48"/>
      <x:c r="U469" s="48"/>
      <x:c r="V469" s="48"/>
      <x:c r="W469" s="47" t="str">
        <x:f>IF(OR(J469="",K469="",L469="",M469=""),"",IF(J469="Long",(M469-L469)*K469,(L469-M469)*K469))</x:f>
      </x:c>
      <x:c r="X469" s="47" t="str">
        <x:f>IF(COUNTA(S469:V469)=0,"",SUM(S469:V469))</x:f>
      </x:c>
      <x:c r="Y469" s="47" t="str">
        <x:f>IF(W469="","",W469-IF(X469="",0,X469))</x:f>
      </x:c>
      <x:c r="Z469" s="47" t="str">
        <x:f>IF(OR(K469="",L469="",N469=""),"",ABS(L469-N469)*K469)</x:f>
      </x:c>
      <x:c r="AA469" s="52" t="str">
        <x:f>IFERROR(Y469/Z469,"")</x:f>
      </x:c>
      <x:c r="AB469" s="26"/>
      <x:c r="AC469" s="26"/>
      <x:c r="AD469" s="55"/>
    </x:row>
    <x:row r="470">
      <x:c r="A470" s="26"/>
      <x:c r="B470" s="26"/>
      <x:c r="C470" s="35"/>
      <x:c r="D470" s="39"/>
      <x:c r="E470" s="39"/>
      <x:c r="F470" s="26"/>
      <x:c r="G470" s="26"/>
      <x:c r="H470" s="26"/>
      <x:c r="I470" s="26"/>
      <x:c r="J470" s="26"/>
      <x:c r="K470" s="43"/>
      <x:c r="L470" s="48"/>
      <x:c r="M470" s="48"/>
      <x:c r="N470" s="48"/>
      <x:c r="O470" s="48"/>
      <x:c r="P470" s="48"/>
      <x:c r="Q470" s="48"/>
      <x:c r="R470" s="48"/>
      <x:c r="S470" s="48"/>
      <x:c r="T470" s="48"/>
      <x:c r="U470" s="48"/>
      <x:c r="V470" s="48"/>
      <x:c r="W470" s="47" t="str">
        <x:f>IF(OR(J470="",K470="",L470="",M470=""),"",IF(J470="Long",(M470-L470)*K470,(L470-M470)*K470))</x:f>
      </x:c>
      <x:c r="X470" s="47" t="str">
        <x:f>IF(COUNTA(S470:V470)=0,"",SUM(S470:V470))</x:f>
      </x:c>
      <x:c r="Y470" s="47" t="str">
        <x:f>IF(W470="","",W470-IF(X470="",0,X470))</x:f>
      </x:c>
      <x:c r="Z470" s="47" t="str">
        <x:f>IF(OR(K470="",L470="",N470=""),"",ABS(L470-N470)*K470)</x:f>
      </x:c>
      <x:c r="AA470" s="52" t="str">
        <x:f>IFERROR(Y470/Z470,"")</x:f>
      </x:c>
      <x:c r="AB470" s="26"/>
      <x:c r="AC470" s="26"/>
      <x:c r="AD470" s="55"/>
    </x:row>
    <x:row r="471">
      <x:c r="A471" s="26"/>
      <x:c r="B471" s="26"/>
      <x:c r="C471" s="35"/>
      <x:c r="D471" s="39"/>
      <x:c r="E471" s="39"/>
      <x:c r="F471" s="26"/>
      <x:c r="G471" s="26"/>
      <x:c r="H471" s="26"/>
      <x:c r="I471" s="26"/>
      <x:c r="J471" s="26"/>
      <x:c r="K471" s="43"/>
      <x:c r="L471" s="48"/>
      <x:c r="M471" s="48"/>
      <x:c r="N471" s="48"/>
      <x:c r="O471" s="48"/>
      <x:c r="P471" s="48"/>
      <x:c r="Q471" s="48"/>
      <x:c r="R471" s="48"/>
      <x:c r="S471" s="48"/>
      <x:c r="T471" s="48"/>
      <x:c r="U471" s="48"/>
      <x:c r="V471" s="48"/>
      <x:c r="W471" s="47" t="str">
        <x:f>IF(OR(J471="",K471="",L471="",M471=""),"",IF(J471="Long",(M471-L471)*K471,(L471-M471)*K471))</x:f>
      </x:c>
      <x:c r="X471" s="47" t="str">
        <x:f>IF(COUNTA(S471:V471)=0,"",SUM(S471:V471))</x:f>
      </x:c>
      <x:c r="Y471" s="47" t="str">
        <x:f>IF(W471="","",W471-IF(X471="",0,X471))</x:f>
      </x:c>
      <x:c r="Z471" s="47" t="str">
        <x:f>IF(OR(K471="",L471="",N471=""),"",ABS(L471-N471)*K471)</x:f>
      </x:c>
      <x:c r="AA471" s="52" t="str">
        <x:f>IFERROR(Y471/Z471,"")</x:f>
      </x:c>
      <x:c r="AB471" s="26"/>
      <x:c r="AC471" s="26"/>
      <x:c r="AD471" s="55"/>
    </x:row>
    <x:row r="472">
      <x:c r="A472" s="26"/>
      <x:c r="B472" s="26"/>
      <x:c r="C472" s="35"/>
      <x:c r="D472" s="39"/>
      <x:c r="E472" s="39"/>
      <x:c r="F472" s="26"/>
      <x:c r="G472" s="26"/>
      <x:c r="H472" s="26"/>
      <x:c r="I472" s="26"/>
      <x:c r="J472" s="26"/>
      <x:c r="K472" s="43"/>
      <x:c r="L472" s="48"/>
      <x:c r="M472" s="48"/>
      <x:c r="N472" s="48"/>
      <x:c r="O472" s="48"/>
      <x:c r="P472" s="48"/>
      <x:c r="Q472" s="48"/>
      <x:c r="R472" s="48"/>
      <x:c r="S472" s="48"/>
      <x:c r="T472" s="48"/>
      <x:c r="U472" s="48"/>
      <x:c r="V472" s="48"/>
      <x:c r="W472" s="47" t="str">
        <x:f>IF(OR(J472="",K472="",L472="",M472=""),"",IF(J472="Long",(M472-L472)*K472,(L472-M472)*K472))</x:f>
      </x:c>
      <x:c r="X472" s="47" t="str">
        <x:f>IF(COUNTA(S472:V472)=0,"",SUM(S472:V472))</x:f>
      </x:c>
      <x:c r="Y472" s="47" t="str">
        <x:f>IF(W472="","",W472-IF(X472="",0,X472))</x:f>
      </x:c>
      <x:c r="Z472" s="47" t="str">
        <x:f>IF(OR(K472="",L472="",N472=""),"",ABS(L472-N472)*K472)</x:f>
      </x:c>
      <x:c r="AA472" s="52" t="str">
        <x:f>IFERROR(Y472/Z472,"")</x:f>
      </x:c>
      <x:c r="AB472" s="26"/>
      <x:c r="AC472" s="26"/>
      <x:c r="AD472" s="55"/>
    </x:row>
    <x:row r="473">
      <x:c r="A473" s="26"/>
      <x:c r="B473" s="26"/>
      <x:c r="C473" s="35"/>
      <x:c r="D473" s="39"/>
      <x:c r="E473" s="39"/>
      <x:c r="F473" s="26"/>
      <x:c r="G473" s="26"/>
      <x:c r="H473" s="26"/>
      <x:c r="I473" s="26"/>
      <x:c r="J473" s="26"/>
      <x:c r="K473" s="43"/>
      <x:c r="L473" s="48"/>
      <x:c r="M473" s="48"/>
      <x:c r="N473" s="48"/>
      <x:c r="O473" s="48"/>
      <x:c r="P473" s="48"/>
      <x:c r="Q473" s="48"/>
      <x:c r="R473" s="48"/>
      <x:c r="S473" s="48"/>
      <x:c r="T473" s="48"/>
      <x:c r="U473" s="48"/>
      <x:c r="V473" s="48"/>
      <x:c r="W473" s="47" t="str">
        <x:f>IF(OR(J473="",K473="",L473="",M473=""),"",IF(J473="Long",(M473-L473)*K473,(L473-M473)*K473))</x:f>
      </x:c>
      <x:c r="X473" s="47" t="str">
        <x:f>IF(COUNTA(S473:V473)=0,"",SUM(S473:V473))</x:f>
      </x:c>
      <x:c r="Y473" s="47" t="str">
        <x:f>IF(W473="","",W473-IF(X473="",0,X473))</x:f>
      </x:c>
      <x:c r="Z473" s="47" t="str">
        <x:f>IF(OR(K473="",L473="",N473=""),"",ABS(L473-N473)*K473)</x:f>
      </x:c>
      <x:c r="AA473" s="52" t="str">
        <x:f>IFERROR(Y473/Z473,"")</x:f>
      </x:c>
      <x:c r="AB473" s="26"/>
      <x:c r="AC473" s="26"/>
      <x:c r="AD473" s="55"/>
    </x:row>
    <x:row r="474">
      <x:c r="A474" s="26"/>
      <x:c r="B474" s="26"/>
      <x:c r="C474" s="35"/>
      <x:c r="D474" s="39"/>
      <x:c r="E474" s="39"/>
      <x:c r="F474" s="26"/>
      <x:c r="G474" s="26"/>
      <x:c r="H474" s="26"/>
      <x:c r="I474" s="26"/>
      <x:c r="J474" s="26"/>
      <x:c r="K474" s="43"/>
      <x:c r="L474" s="48"/>
      <x:c r="M474" s="48"/>
      <x:c r="N474" s="48"/>
      <x:c r="O474" s="48"/>
      <x:c r="P474" s="48"/>
      <x:c r="Q474" s="48"/>
      <x:c r="R474" s="48"/>
      <x:c r="S474" s="48"/>
      <x:c r="T474" s="48"/>
      <x:c r="U474" s="48"/>
      <x:c r="V474" s="48"/>
      <x:c r="W474" s="47" t="str">
        <x:f>IF(OR(J474="",K474="",L474="",M474=""),"",IF(J474="Long",(M474-L474)*K474,(L474-M474)*K474))</x:f>
      </x:c>
      <x:c r="X474" s="47" t="str">
        <x:f>IF(COUNTA(S474:V474)=0,"",SUM(S474:V474))</x:f>
      </x:c>
      <x:c r="Y474" s="47" t="str">
        <x:f>IF(W474="","",W474-IF(X474="",0,X474))</x:f>
      </x:c>
      <x:c r="Z474" s="47" t="str">
        <x:f>IF(OR(K474="",L474="",N474=""),"",ABS(L474-N474)*K474)</x:f>
      </x:c>
      <x:c r="AA474" s="52" t="str">
        <x:f>IFERROR(Y474/Z474,"")</x:f>
      </x:c>
      <x:c r="AB474" s="26"/>
      <x:c r="AC474" s="26"/>
      <x:c r="AD474" s="55"/>
    </x:row>
    <x:row r="475">
      <x:c r="A475" s="26"/>
      <x:c r="B475" s="26"/>
      <x:c r="C475" s="35"/>
      <x:c r="D475" s="39"/>
      <x:c r="E475" s="39"/>
      <x:c r="F475" s="26"/>
      <x:c r="G475" s="26"/>
      <x:c r="H475" s="26"/>
      <x:c r="I475" s="26"/>
      <x:c r="J475" s="26"/>
      <x:c r="K475" s="43"/>
      <x:c r="L475" s="48"/>
      <x:c r="M475" s="48"/>
      <x:c r="N475" s="48"/>
      <x:c r="O475" s="48"/>
      <x:c r="P475" s="48"/>
      <x:c r="Q475" s="48"/>
      <x:c r="R475" s="48"/>
      <x:c r="S475" s="48"/>
      <x:c r="T475" s="48"/>
      <x:c r="U475" s="48"/>
      <x:c r="V475" s="48"/>
      <x:c r="W475" s="47" t="str">
        <x:f>IF(OR(J475="",K475="",L475="",M475=""),"",IF(J475="Long",(M475-L475)*K475,(L475-M475)*K475))</x:f>
      </x:c>
      <x:c r="X475" s="47" t="str">
        <x:f>IF(COUNTA(S475:V475)=0,"",SUM(S475:V475))</x:f>
      </x:c>
      <x:c r="Y475" s="47" t="str">
        <x:f>IF(W475="","",W475-IF(X475="",0,X475))</x:f>
      </x:c>
      <x:c r="Z475" s="47" t="str">
        <x:f>IF(OR(K475="",L475="",N475=""),"",ABS(L475-N475)*K475)</x:f>
      </x:c>
      <x:c r="AA475" s="52" t="str">
        <x:f>IFERROR(Y475/Z475,"")</x:f>
      </x:c>
      <x:c r="AB475" s="26"/>
      <x:c r="AC475" s="26"/>
      <x:c r="AD475" s="55"/>
    </x:row>
    <x:row r="476">
      <x:c r="A476" s="26"/>
      <x:c r="B476" s="26"/>
      <x:c r="C476" s="35"/>
      <x:c r="D476" s="39"/>
      <x:c r="E476" s="39"/>
      <x:c r="F476" s="26"/>
      <x:c r="G476" s="26"/>
      <x:c r="H476" s="26"/>
      <x:c r="I476" s="26"/>
      <x:c r="J476" s="26"/>
      <x:c r="K476" s="43"/>
      <x:c r="L476" s="48"/>
      <x:c r="M476" s="48"/>
      <x:c r="N476" s="48"/>
      <x:c r="O476" s="48"/>
      <x:c r="P476" s="48"/>
      <x:c r="Q476" s="48"/>
      <x:c r="R476" s="48"/>
      <x:c r="S476" s="48"/>
      <x:c r="T476" s="48"/>
      <x:c r="U476" s="48"/>
      <x:c r="V476" s="48"/>
      <x:c r="W476" s="47" t="str">
        <x:f>IF(OR(J476="",K476="",L476="",M476=""),"",IF(J476="Long",(M476-L476)*K476,(L476-M476)*K476))</x:f>
      </x:c>
      <x:c r="X476" s="47" t="str">
        <x:f>IF(COUNTA(S476:V476)=0,"",SUM(S476:V476))</x:f>
      </x:c>
      <x:c r="Y476" s="47" t="str">
        <x:f>IF(W476="","",W476-IF(X476="",0,X476))</x:f>
      </x:c>
      <x:c r="Z476" s="47" t="str">
        <x:f>IF(OR(K476="",L476="",N476=""),"",ABS(L476-N476)*K476)</x:f>
      </x:c>
      <x:c r="AA476" s="52" t="str">
        <x:f>IFERROR(Y476/Z476,"")</x:f>
      </x:c>
      <x:c r="AB476" s="26"/>
      <x:c r="AC476" s="26"/>
      <x:c r="AD476" s="55"/>
    </x:row>
    <x:row r="477">
      <x:c r="A477" s="26"/>
      <x:c r="B477" s="26"/>
      <x:c r="C477" s="35"/>
      <x:c r="D477" s="39"/>
      <x:c r="E477" s="39"/>
      <x:c r="F477" s="26"/>
      <x:c r="G477" s="26"/>
      <x:c r="H477" s="26"/>
      <x:c r="I477" s="26"/>
      <x:c r="J477" s="26"/>
      <x:c r="K477" s="43"/>
      <x:c r="L477" s="48"/>
      <x:c r="M477" s="48"/>
      <x:c r="N477" s="48"/>
      <x:c r="O477" s="48"/>
      <x:c r="P477" s="48"/>
      <x:c r="Q477" s="48"/>
      <x:c r="R477" s="48"/>
      <x:c r="S477" s="48"/>
      <x:c r="T477" s="48"/>
      <x:c r="U477" s="48"/>
      <x:c r="V477" s="48"/>
      <x:c r="W477" s="47" t="str">
        <x:f>IF(OR(J477="",K477="",L477="",M477=""),"",IF(J477="Long",(M477-L477)*K477,(L477-M477)*K477))</x:f>
      </x:c>
      <x:c r="X477" s="47" t="str">
        <x:f>IF(COUNTA(S477:V477)=0,"",SUM(S477:V477))</x:f>
      </x:c>
      <x:c r="Y477" s="47" t="str">
        <x:f>IF(W477="","",W477-IF(X477="",0,X477))</x:f>
      </x:c>
      <x:c r="Z477" s="47" t="str">
        <x:f>IF(OR(K477="",L477="",N477=""),"",ABS(L477-N477)*K477)</x:f>
      </x:c>
      <x:c r="AA477" s="52" t="str">
        <x:f>IFERROR(Y477/Z477,"")</x:f>
      </x:c>
      <x:c r="AB477" s="26"/>
      <x:c r="AC477" s="26"/>
      <x:c r="AD477" s="55"/>
    </x:row>
    <x:row r="478">
      <x:c r="A478" s="26"/>
      <x:c r="B478" s="26"/>
      <x:c r="C478" s="35"/>
      <x:c r="D478" s="39"/>
      <x:c r="E478" s="39"/>
      <x:c r="F478" s="26"/>
      <x:c r="G478" s="26"/>
      <x:c r="H478" s="26"/>
      <x:c r="I478" s="26"/>
      <x:c r="J478" s="26"/>
      <x:c r="K478" s="43"/>
      <x:c r="L478" s="48"/>
      <x:c r="M478" s="48"/>
      <x:c r="N478" s="48"/>
      <x:c r="O478" s="48"/>
      <x:c r="P478" s="48"/>
      <x:c r="Q478" s="48"/>
      <x:c r="R478" s="48"/>
      <x:c r="S478" s="48"/>
      <x:c r="T478" s="48"/>
      <x:c r="U478" s="48"/>
      <x:c r="V478" s="48"/>
      <x:c r="W478" s="47" t="str">
        <x:f>IF(OR(J478="",K478="",L478="",M478=""),"",IF(J478="Long",(M478-L478)*K478,(L478-M478)*K478))</x:f>
      </x:c>
      <x:c r="X478" s="47" t="str">
        <x:f>IF(COUNTA(S478:V478)=0,"",SUM(S478:V478))</x:f>
      </x:c>
      <x:c r="Y478" s="47" t="str">
        <x:f>IF(W478="","",W478-IF(X478="",0,X478))</x:f>
      </x:c>
      <x:c r="Z478" s="47" t="str">
        <x:f>IF(OR(K478="",L478="",N478=""),"",ABS(L478-N478)*K478)</x:f>
      </x:c>
      <x:c r="AA478" s="52" t="str">
        <x:f>IFERROR(Y478/Z478,"")</x:f>
      </x:c>
      <x:c r="AB478" s="26"/>
      <x:c r="AC478" s="26"/>
      <x:c r="AD478" s="55"/>
    </x:row>
    <x:row r="479">
      <x:c r="A479" s="26"/>
      <x:c r="B479" s="26"/>
      <x:c r="C479" s="35"/>
      <x:c r="D479" s="39"/>
      <x:c r="E479" s="39"/>
      <x:c r="F479" s="26"/>
      <x:c r="G479" s="26"/>
      <x:c r="H479" s="26"/>
      <x:c r="I479" s="26"/>
      <x:c r="J479" s="26"/>
      <x:c r="K479" s="43"/>
      <x:c r="L479" s="48"/>
      <x:c r="M479" s="48"/>
      <x:c r="N479" s="48"/>
      <x:c r="O479" s="48"/>
      <x:c r="P479" s="48"/>
      <x:c r="Q479" s="48"/>
      <x:c r="R479" s="48"/>
      <x:c r="S479" s="48"/>
      <x:c r="T479" s="48"/>
      <x:c r="U479" s="48"/>
      <x:c r="V479" s="48"/>
      <x:c r="W479" s="47" t="str">
        <x:f>IF(OR(J479="",K479="",L479="",M479=""),"",IF(J479="Long",(M479-L479)*K479,(L479-M479)*K479))</x:f>
      </x:c>
      <x:c r="X479" s="47" t="str">
        <x:f>IF(COUNTA(S479:V479)=0,"",SUM(S479:V479))</x:f>
      </x:c>
      <x:c r="Y479" s="47" t="str">
        <x:f>IF(W479="","",W479-IF(X479="",0,X479))</x:f>
      </x:c>
      <x:c r="Z479" s="47" t="str">
        <x:f>IF(OR(K479="",L479="",N479=""),"",ABS(L479-N479)*K479)</x:f>
      </x:c>
      <x:c r="AA479" s="52" t="str">
        <x:f>IFERROR(Y479/Z479,"")</x:f>
      </x:c>
      <x:c r="AB479" s="26"/>
      <x:c r="AC479" s="26"/>
      <x:c r="AD479" s="55"/>
    </x:row>
    <x:row r="480">
      <x:c r="A480" s="26"/>
      <x:c r="B480" s="26"/>
      <x:c r="C480" s="35"/>
      <x:c r="D480" s="39"/>
      <x:c r="E480" s="39"/>
      <x:c r="F480" s="26"/>
      <x:c r="G480" s="26"/>
      <x:c r="H480" s="26"/>
      <x:c r="I480" s="26"/>
      <x:c r="J480" s="26"/>
      <x:c r="K480" s="43"/>
      <x:c r="L480" s="48"/>
      <x:c r="M480" s="48"/>
      <x:c r="N480" s="48"/>
      <x:c r="O480" s="48"/>
      <x:c r="P480" s="48"/>
      <x:c r="Q480" s="48"/>
      <x:c r="R480" s="48"/>
      <x:c r="S480" s="48"/>
      <x:c r="T480" s="48"/>
      <x:c r="U480" s="48"/>
      <x:c r="V480" s="48"/>
      <x:c r="W480" s="47" t="str">
        <x:f>IF(OR(J480="",K480="",L480="",M480=""),"",IF(J480="Long",(M480-L480)*K480,(L480-M480)*K480))</x:f>
      </x:c>
      <x:c r="X480" s="47" t="str">
        <x:f>IF(COUNTA(S480:V480)=0,"",SUM(S480:V480))</x:f>
      </x:c>
      <x:c r="Y480" s="47" t="str">
        <x:f>IF(W480="","",W480-IF(X480="",0,X480))</x:f>
      </x:c>
      <x:c r="Z480" s="47" t="str">
        <x:f>IF(OR(K480="",L480="",N480=""),"",ABS(L480-N480)*K480)</x:f>
      </x:c>
      <x:c r="AA480" s="52" t="str">
        <x:f>IFERROR(Y480/Z480,"")</x:f>
      </x:c>
      <x:c r="AB480" s="26"/>
      <x:c r="AC480" s="26"/>
      <x:c r="AD480" s="55"/>
    </x:row>
    <x:row r="481">
      <x:c r="A481" s="26"/>
      <x:c r="B481" s="26"/>
      <x:c r="C481" s="35"/>
      <x:c r="D481" s="39"/>
      <x:c r="E481" s="39"/>
      <x:c r="F481" s="26"/>
      <x:c r="G481" s="26"/>
      <x:c r="H481" s="26"/>
      <x:c r="I481" s="26"/>
      <x:c r="J481" s="26"/>
      <x:c r="K481" s="43"/>
      <x:c r="L481" s="48"/>
      <x:c r="M481" s="48"/>
      <x:c r="N481" s="48"/>
      <x:c r="O481" s="48"/>
      <x:c r="P481" s="48"/>
      <x:c r="Q481" s="48"/>
      <x:c r="R481" s="48"/>
      <x:c r="S481" s="48"/>
      <x:c r="T481" s="48"/>
      <x:c r="U481" s="48"/>
      <x:c r="V481" s="48"/>
      <x:c r="W481" s="47" t="str">
        <x:f>IF(OR(J481="",K481="",L481="",M481=""),"",IF(J481="Long",(M481-L481)*K481,(L481-M481)*K481))</x:f>
      </x:c>
      <x:c r="X481" s="47" t="str">
        <x:f>IF(COUNTA(S481:V481)=0,"",SUM(S481:V481))</x:f>
      </x:c>
      <x:c r="Y481" s="47" t="str">
        <x:f>IF(W481="","",W481-IF(X481="",0,X481))</x:f>
      </x:c>
      <x:c r="Z481" s="47" t="str">
        <x:f>IF(OR(K481="",L481="",N481=""),"",ABS(L481-N481)*K481)</x:f>
      </x:c>
      <x:c r="AA481" s="52" t="str">
        <x:f>IFERROR(Y481/Z481,"")</x:f>
      </x:c>
      <x:c r="AB481" s="26"/>
      <x:c r="AC481" s="26"/>
      <x:c r="AD481" s="55"/>
    </x:row>
    <x:row r="482">
      <x:c r="A482" s="26"/>
      <x:c r="B482" s="26"/>
      <x:c r="C482" s="35"/>
      <x:c r="D482" s="39"/>
      <x:c r="E482" s="39"/>
      <x:c r="F482" s="26"/>
      <x:c r="G482" s="26"/>
      <x:c r="H482" s="26"/>
      <x:c r="I482" s="26"/>
      <x:c r="J482" s="26"/>
      <x:c r="K482" s="43"/>
      <x:c r="L482" s="48"/>
      <x:c r="M482" s="48"/>
      <x:c r="N482" s="48"/>
      <x:c r="O482" s="48"/>
      <x:c r="P482" s="48"/>
      <x:c r="Q482" s="48"/>
      <x:c r="R482" s="48"/>
      <x:c r="S482" s="48"/>
      <x:c r="T482" s="48"/>
      <x:c r="U482" s="48"/>
      <x:c r="V482" s="48"/>
      <x:c r="W482" s="47" t="str">
        <x:f>IF(OR(J482="",K482="",L482="",M482=""),"",IF(J482="Long",(M482-L482)*K482,(L482-M482)*K482))</x:f>
      </x:c>
      <x:c r="X482" s="47" t="str">
        <x:f>IF(COUNTA(S482:V482)=0,"",SUM(S482:V482))</x:f>
      </x:c>
      <x:c r="Y482" s="47" t="str">
        <x:f>IF(W482="","",W482-IF(X482="",0,X482))</x:f>
      </x:c>
      <x:c r="Z482" s="47" t="str">
        <x:f>IF(OR(K482="",L482="",N482=""),"",ABS(L482-N482)*K482)</x:f>
      </x:c>
      <x:c r="AA482" s="52" t="str">
        <x:f>IFERROR(Y482/Z482,"")</x:f>
      </x:c>
      <x:c r="AB482" s="26"/>
      <x:c r="AC482" s="26"/>
      <x:c r="AD482" s="55"/>
    </x:row>
    <x:row r="483">
      <x:c r="A483" s="26"/>
      <x:c r="B483" s="26"/>
      <x:c r="C483" s="35"/>
      <x:c r="D483" s="39"/>
      <x:c r="E483" s="39"/>
      <x:c r="F483" s="26"/>
      <x:c r="G483" s="26"/>
      <x:c r="H483" s="26"/>
      <x:c r="I483" s="26"/>
      <x:c r="J483" s="26"/>
      <x:c r="K483" s="43"/>
      <x:c r="L483" s="48"/>
      <x:c r="M483" s="48"/>
      <x:c r="N483" s="48"/>
      <x:c r="O483" s="48"/>
      <x:c r="P483" s="48"/>
      <x:c r="Q483" s="48"/>
      <x:c r="R483" s="48"/>
      <x:c r="S483" s="48"/>
      <x:c r="T483" s="48"/>
      <x:c r="U483" s="48"/>
      <x:c r="V483" s="48"/>
      <x:c r="W483" s="47" t="str">
        <x:f>IF(OR(J483="",K483="",L483="",M483=""),"",IF(J483="Long",(M483-L483)*K483,(L483-M483)*K483))</x:f>
      </x:c>
      <x:c r="X483" s="47" t="str">
        <x:f>IF(COUNTA(S483:V483)=0,"",SUM(S483:V483))</x:f>
      </x:c>
      <x:c r="Y483" s="47" t="str">
        <x:f>IF(W483="","",W483-IF(X483="",0,X483))</x:f>
      </x:c>
      <x:c r="Z483" s="47" t="str">
        <x:f>IF(OR(K483="",L483="",N483=""),"",ABS(L483-N483)*K483)</x:f>
      </x:c>
      <x:c r="AA483" s="52" t="str">
        <x:f>IFERROR(Y483/Z483,"")</x:f>
      </x:c>
      <x:c r="AB483" s="26"/>
      <x:c r="AC483" s="26"/>
      <x:c r="AD483" s="55"/>
    </x:row>
    <x:row r="484">
      <x:c r="A484" s="26"/>
      <x:c r="B484" s="26"/>
      <x:c r="C484" s="35"/>
      <x:c r="D484" s="39"/>
      <x:c r="E484" s="39"/>
      <x:c r="F484" s="26"/>
      <x:c r="G484" s="26"/>
      <x:c r="H484" s="26"/>
      <x:c r="I484" s="26"/>
      <x:c r="J484" s="26"/>
      <x:c r="K484" s="43"/>
      <x:c r="L484" s="48"/>
      <x:c r="M484" s="48"/>
      <x:c r="N484" s="48"/>
      <x:c r="O484" s="48"/>
      <x:c r="P484" s="48"/>
      <x:c r="Q484" s="48"/>
      <x:c r="R484" s="48"/>
      <x:c r="S484" s="48"/>
      <x:c r="T484" s="48"/>
      <x:c r="U484" s="48"/>
      <x:c r="V484" s="48"/>
      <x:c r="W484" s="47" t="str">
        <x:f>IF(OR(J484="",K484="",L484="",M484=""),"",IF(J484="Long",(M484-L484)*K484,(L484-M484)*K484))</x:f>
      </x:c>
      <x:c r="X484" s="47" t="str">
        <x:f>IF(COUNTA(S484:V484)=0,"",SUM(S484:V484))</x:f>
      </x:c>
      <x:c r="Y484" s="47" t="str">
        <x:f>IF(W484="","",W484-IF(X484="",0,X484))</x:f>
      </x:c>
      <x:c r="Z484" s="47" t="str">
        <x:f>IF(OR(K484="",L484="",N484=""),"",ABS(L484-N484)*K484)</x:f>
      </x:c>
      <x:c r="AA484" s="52" t="str">
        <x:f>IFERROR(Y484/Z484,"")</x:f>
      </x:c>
      <x:c r="AB484" s="26"/>
      <x:c r="AC484" s="26"/>
      <x:c r="AD484" s="55"/>
    </x:row>
    <x:row r="485">
      <x:c r="A485" s="26"/>
      <x:c r="B485" s="26"/>
      <x:c r="C485" s="35"/>
      <x:c r="D485" s="39"/>
      <x:c r="E485" s="39"/>
      <x:c r="F485" s="26"/>
      <x:c r="G485" s="26"/>
      <x:c r="H485" s="26"/>
      <x:c r="I485" s="26"/>
      <x:c r="J485" s="26"/>
      <x:c r="K485" s="43"/>
      <x:c r="L485" s="48"/>
      <x:c r="M485" s="48"/>
      <x:c r="N485" s="48"/>
      <x:c r="O485" s="48"/>
      <x:c r="P485" s="48"/>
      <x:c r="Q485" s="48"/>
      <x:c r="R485" s="48"/>
      <x:c r="S485" s="48"/>
      <x:c r="T485" s="48"/>
      <x:c r="U485" s="48"/>
      <x:c r="V485" s="48"/>
      <x:c r="W485" s="47" t="str">
        <x:f>IF(OR(J485="",K485="",L485="",M485=""),"",IF(J485="Long",(M485-L485)*K485,(L485-M485)*K485))</x:f>
      </x:c>
      <x:c r="X485" s="47" t="str">
        <x:f>IF(COUNTA(S485:V485)=0,"",SUM(S485:V485))</x:f>
      </x:c>
      <x:c r="Y485" s="47" t="str">
        <x:f>IF(W485="","",W485-IF(X485="",0,X485))</x:f>
      </x:c>
      <x:c r="Z485" s="47" t="str">
        <x:f>IF(OR(K485="",L485="",N485=""),"",ABS(L485-N485)*K485)</x:f>
      </x:c>
      <x:c r="AA485" s="52" t="str">
        <x:f>IFERROR(Y485/Z485,"")</x:f>
      </x:c>
      <x:c r="AB485" s="26"/>
      <x:c r="AC485" s="26"/>
      <x:c r="AD485" s="55"/>
    </x:row>
    <x:row r="486">
      <x:c r="A486" s="26"/>
      <x:c r="B486" s="26"/>
      <x:c r="C486" s="35"/>
      <x:c r="D486" s="39"/>
      <x:c r="E486" s="39"/>
      <x:c r="F486" s="26"/>
      <x:c r="G486" s="26"/>
      <x:c r="H486" s="26"/>
      <x:c r="I486" s="26"/>
      <x:c r="J486" s="26"/>
      <x:c r="K486" s="43"/>
      <x:c r="L486" s="48"/>
      <x:c r="M486" s="48"/>
      <x:c r="N486" s="48"/>
      <x:c r="O486" s="48"/>
      <x:c r="P486" s="48"/>
      <x:c r="Q486" s="48"/>
      <x:c r="R486" s="48"/>
      <x:c r="S486" s="48"/>
      <x:c r="T486" s="48"/>
      <x:c r="U486" s="48"/>
      <x:c r="V486" s="48"/>
      <x:c r="W486" s="47" t="str">
        <x:f>IF(OR(J486="",K486="",L486="",M486=""),"",IF(J486="Long",(M486-L486)*K486,(L486-M486)*K486))</x:f>
      </x:c>
      <x:c r="X486" s="47" t="str">
        <x:f>IF(COUNTA(S486:V486)=0,"",SUM(S486:V486))</x:f>
      </x:c>
      <x:c r="Y486" s="47" t="str">
        <x:f>IF(W486="","",W486-IF(X486="",0,X486))</x:f>
      </x:c>
      <x:c r="Z486" s="47" t="str">
        <x:f>IF(OR(K486="",L486="",N486=""),"",ABS(L486-N486)*K486)</x:f>
      </x:c>
      <x:c r="AA486" s="52" t="str">
        <x:f>IFERROR(Y486/Z486,"")</x:f>
      </x:c>
      <x:c r="AB486" s="26"/>
      <x:c r="AC486" s="26"/>
      <x:c r="AD486" s="55"/>
    </x:row>
    <x:row r="487">
      <x:c r="A487" s="26"/>
      <x:c r="B487" s="26"/>
      <x:c r="C487" s="35"/>
      <x:c r="D487" s="39"/>
      <x:c r="E487" s="39"/>
      <x:c r="F487" s="26"/>
      <x:c r="G487" s="26"/>
      <x:c r="H487" s="26"/>
      <x:c r="I487" s="26"/>
      <x:c r="J487" s="26"/>
      <x:c r="K487" s="43"/>
      <x:c r="L487" s="48"/>
      <x:c r="M487" s="48"/>
      <x:c r="N487" s="48"/>
      <x:c r="O487" s="48"/>
      <x:c r="P487" s="48"/>
      <x:c r="Q487" s="48"/>
      <x:c r="R487" s="48"/>
      <x:c r="S487" s="48"/>
      <x:c r="T487" s="48"/>
      <x:c r="U487" s="48"/>
      <x:c r="V487" s="48"/>
      <x:c r="W487" s="47" t="str">
        <x:f>IF(OR(J487="",K487="",L487="",M487=""),"",IF(J487="Long",(M487-L487)*K487,(L487-M487)*K487))</x:f>
      </x:c>
      <x:c r="X487" s="47" t="str">
        <x:f>IF(COUNTA(S487:V487)=0,"",SUM(S487:V487))</x:f>
      </x:c>
      <x:c r="Y487" s="47" t="str">
        <x:f>IF(W487="","",W487-IF(X487="",0,X487))</x:f>
      </x:c>
      <x:c r="Z487" s="47" t="str">
        <x:f>IF(OR(K487="",L487="",N487=""),"",ABS(L487-N487)*K487)</x:f>
      </x:c>
      <x:c r="AA487" s="52" t="str">
        <x:f>IFERROR(Y487/Z487,"")</x:f>
      </x:c>
      <x:c r="AB487" s="26"/>
      <x:c r="AC487" s="26"/>
      <x:c r="AD487" s="55"/>
    </x:row>
    <x:row r="488">
      <x:c r="A488" s="26"/>
      <x:c r="B488" s="26"/>
      <x:c r="C488" s="35"/>
      <x:c r="D488" s="39"/>
      <x:c r="E488" s="39"/>
      <x:c r="F488" s="26"/>
      <x:c r="G488" s="26"/>
      <x:c r="H488" s="26"/>
      <x:c r="I488" s="26"/>
      <x:c r="J488" s="26"/>
      <x:c r="K488" s="43"/>
      <x:c r="L488" s="48"/>
      <x:c r="M488" s="48"/>
      <x:c r="N488" s="48"/>
      <x:c r="O488" s="48"/>
      <x:c r="P488" s="48"/>
      <x:c r="Q488" s="48"/>
      <x:c r="R488" s="48"/>
      <x:c r="S488" s="48"/>
      <x:c r="T488" s="48"/>
      <x:c r="U488" s="48"/>
      <x:c r="V488" s="48"/>
      <x:c r="W488" s="47" t="str">
        <x:f>IF(OR(J488="",K488="",L488="",M488=""),"",IF(J488="Long",(M488-L488)*K488,(L488-M488)*K488))</x:f>
      </x:c>
      <x:c r="X488" s="47" t="str">
        <x:f>IF(COUNTA(S488:V488)=0,"",SUM(S488:V488))</x:f>
      </x:c>
      <x:c r="Y488" s="47" t="str">
        <x:f>IF(W488="","",W488-IF(X488="",0,X488))</x:f>
      </x:c>
      <x:c r="Z488" s="47" t="str">
        <x:f>IF(OR(K488="",L488="",N488=""),"",ABS(L488-N488)*K488)</x:f>
      </x:c>
      <x:c r="AA488" s="52" t="str">
        <x:f>IFERROR(Y488/Z488,"")</x:f>
      </x:c>
      <x:c r="AB488" s="26"/>
      <x:c r="AC488" s="26"/>
      <x:c r="AD488" s="55"/>
    </x:row>
    <x:row r="489">
      <x:c r="A489" s="26"/>
      <x:c r="B489" s="26"/>
      <x:c r="C489" s="35"/>
      <x:c r="D489" s="39"/>
      <x:c r="E489" s="39"/>
      <x:c r="F489" s="26"/>
      <x:c r="G489" s="26"/>
      <x:c r="H489" s="26"/>
      <x:c r="I489" s="26"/>
      <x:c r="J489" s="26"/>
      <x:c r="K489" s="43"/>
      <x:c r="L489" s="48"/>
      <x:c r="M489" s="48"/>
      <x:c r="N489" s="48"/>
      <x:c r="O489" s="48"/>
      <x:c r="P489" s="48"/>
      <x:c r="Q489" s="48"/>
      <x:c r="R489" s="48"/>
      <x:c r="S489" s="48"/>
      <x:c r="T489" s="48"/>
      <x:c r="U489" s="48"/>
      <x:c r="V489" s="48"/>
      <x:c r="W489" s="47" t="str">
        <x:f>IF(OR(J489="",K489="",L489="",M489=""),"",IF(J489="Long",(M489-L489)*K489,(L489-M489)*K489))</x:f>
      </x:c>
      <x:c r="X489" s="47" t="str">
        <x:f>IF(COUNTA(S489:V489)=0,"",SUM(S489:V489))</x:f>
      </x:c>
      <x:c r="Y489" s="47" t="str">
        <x:f>IF(W489="","",W489-IF(X489="",0,X489))</x:f>
      </x:c>
      <x:c r="Z489" s="47" t="str">
        <x:f>IF(OR(K489="",L489="",N489=""),"",ABS(L489-N489)*K489)</x:f>
      </x:c>
      <x:c r="AA489" s="52" t="str">
        <x:f>IFERROR(Y489/Z489,"")</x:f>
      </x:c>
      <x:c r="AB489" s="26"/>
      <x:c r="AC489" s="26"/>
      <x:c r="AD489" s="55"/>
    </x:row>
    <x:row r="490">
      <x:c r="A490" s="26"/>
      <x:c r="B490" s="26"/>
      <x:c r="C490" s="35"/>
      <x:c r="D490" s="39"/>
      <x:c r="E490" s="39"/>
      <x:c r="F490" s="26"/>
      <x:c r="G490" s="26"/>
      <x:c r="H490" s="26"/>
      <x:c r="I490" s="26"/>
      <x:c r="J490" s="26"/>
      <x:c r="K490" s="43"/>
      <x:c r="L490" s="48"/>
      <x:c r="M490" s="48"/>
      <x:c r="N490" s="48"/>
      <x:c r="O490" s="48"/>
      <x:c r="P490" s="48"/>
      <x:c r="Q490" s="48"/>
      <x:c r="R490" s="48"/>
      <x:c r="S490" s="48"/>
      <x:c r="T490" s="48"/>
      <x:c r="U490" s="48"/>
      <x:c r="V490" s="48"/>
      <x:c r="W490" s="47" t="str">
        <x:f>IF(OR(J490="",K490="",L490="",M490=""),"",IF(J490="Long",(M490-L490)*K490,(L490-M490)*K490))</x:f>
      </x:c>
      <x:c r="X490" s="47" t="str">
        <x:f>IF(COUNTA(S490:V490)=0,"",SUM(S490:V490))</x:f>
      </x:c>
      <x:c r="Y490" s="47" t="str">
        <x:f>IF(W490="","",W490-IF(X490="",0,X490))</x:f>
      </x:c>
      <x:c r="Z490" s="47" t="str">
        <x:f>IF(OR(K490="",L490="",N490=""),"",ABS(L490-N490)*K490)</x:f>
      </x:c>
      <x:c r="AA490" s="52" t="str">
        <x:f>IFERROR(Y490/Z490,"")</x:f>
      </x:c>
      <x:c r="AB490" s="26"/>
      <x:c r="AC490" s="26"/>
      <x:c r="AD490" s="55"/>
    </x:row>
    <x:row r="491">
      <x:c r="A491" s="26"/>
      <x:c r="B491" s="26"/>
      <x:c r="C491" s="35"/>
      <x:c r="D491" s="39"/>
      <x:c r="E491" s="39"/>
      <x:c r="F491" s="26"/>
      <x:c r="G491" s="26"/>
      <x:c r="H491" s="26"/>
      <x:c r="I491" s="26"/>
      <x:c r="J491" s="26"/>
      <x:c r="K491" s="43"/>
      <x:c r="L491" s="48"/>
      <x:c r="M491" s="48"/>
      <x:c r="N491" s="48"/>
      <x:c r="O491" s="48"/>
      <x:c r="P491" s="48"/>
      <x:c r="Q491" s="48"/>
      <x:c r="R491" s="48"/>
      <x:c r="S491" s="48"/>
      <x:c r="T491" s="48"/>
      <x:c r="U491" s="48"/>
      <x:c r="V491" s="48"/>
      <x:c r="W491" s="47" t="str">
        <x:f>IF(OR(J491="",K491="",L491="",M491=""),"",IF(J491="Long",(M491-L491)*K491,(L491-M491)*K491))</x:f>
      </x:c>
      <x:c r="X491" s="47" t="str">
        <x:f>IF(COUNTA(S491:V491)=0,"",SUM(S491:V491))</x:f>
      </x:c>
      <x:c r="Y491" s="47" t="str">
        <x:f>IF(W491="","",W491-IF(X491="",0,X491))</x:f>
      </x:c>
      <x:c r="Z491" s="47" t="str">
        <x:f>IF(OR(K491="",L491="",N491=""),"",ABS(L491-N491)*K491)</x:f>
      </x:c>
      <x:c r="AA491" s="52" t="str">
        <x:f>IFERROR(Y491/Z491,"")</x:f>
      </x:c>
      <x:c r="AB491" s="26"/>
      <x:c r="AC491" s="26"/>
      <x:c r="AD491" s="55"/>
    </x:row>
    <x:row r="492">
      <x:c r="A492" s="26"/>
      <x:c r="B492" s="26"/>
      <x:c r="C492" s="35"/>
      <x:c r="D492" s="39"/>
      <x:c r="E492" s="39"/>
      <x:c r="F492" s="26"/>
      <x:c r="G492" s="26"/>
      <x:c r="H492" s="26"/>
      <x:c r="I492" s="26"/>
      <x:c r="J492" s="26"/>
      <x:c r="K492" s="43"/>
      <x:c r="L492" s="48"/>
      <x:c r="M492" s="48"/>
      <x:c r="N492" s="48"/>
      <x:c r="O492" s="48"/>
      <x:c r="P492" s="48"/>
      <x:c r="Q492" s="48"/>
      <x:c r="R492" s="48"/>
      <x:c r="S492" s="48"/>
      <x:c r="T492" s="48"/>
      <x:c r="U492" s="48"/>
      <x:c r="V492" s="48"/>
      <x:c r="W492" s="47" t="str">
        <x:f>IF(OR(J492="",K492="",L492="",M492=""),"",IF(J492="Long",(M492-L492)*K492,(L492-M492)*K492))</x:f>
      </x:c>
      <x:c r="X492" s="47" t="str">
        <x:f>IF(COUNTA(S492:V492)=0,"",SUM(S492:V492))</x:f>
      </x:c>
      <x:c r="Y492" s="47" t="str">
        <x:f>IF(W492="","",W492-IF(X492="",0,X492))</x:f>
      </x:c>
      <x:c r="Z492" s="47" t="str">
        <x:f>IF(OR(K492="",L492="",N492=""),"",ABS(L492-N492)*K492)</x:f>
      </x:c>
      <x:c r="AA492" s="52" t="str">
        <x:f>IFERROR(Y492/Z492,"")</x:f>
      </x:c>
      <x:c r="AB492" s="26"/>
      <x:c r="AC492" s="26"/>
      <x:c r="AD492" s="55"/>
    </x:row>
    <x:row r="493">
      <x:c r="A493" s="26"/>
      <x:c r="B493" s="26"/>
      <x:c r="C493" s="35"/>
      <x:c r="D493" s="39"/>
      <x:c r="E493" s="39"/>
      <x:c r="F493" s="26"/>
      <x:c r="G493" s="26"/>
      <x:c r="H493" s="26"/>
      <x:c r="I493" s="26"/>
      <x:c r="J493" s="26"/>
      <x:c r="K493" s="43"/>
      <x:c r="L493" s="48"/>
      <x:c r="M493" s="48"/>
      <x:c r="N493" s="48"/>
      <x:c r="O493" s="48"/>
      <x:c r="P493" s="48"/>
      <x:c r="Q493" s="48"/>
      <x:c r="R493" s="48"/>
      <x:c r="S493" s="48"/>
      <x:c r="T493" s="48"/>
      <x:c r="U493" s="48"/>
      <x:c r="V493" s="48"/>
      <x:c r="W493" s="47" t="str">
        <x:f>IF(OR(J493="",K493="",L493="",M493=""),"",IF(J493="Long",(M493-L493)*K493,(L493-M493)*K493))</x:f>
      </x:c>
      <x:c r="X493" s="47" t="str">
        <x:f>IF(COUNTA(S493:V493)=0,"",SUM(S493:V493))</x:f>
      </x:c>
      <x:c r="Y493" s="47" t="str">
        <x:f>IF(W493="","",W493-IF(X493="",0,X493))</x:f>
      </x:c>
      <x:c r="Z493" s="47" t="str">
        <x:f>IF(OR(K493="",L493="",N493=""),"",ABS(L493-N493)*K493)</x:f>
      </x:c>
      <x:c r="AA493" s="52" t="str">
        <x:f>IFERROR(Y493/Z493,"")</x:f>
      </x:c>
      <x:c r="AB493" s="26"/>
      <x:c r="AC493" s="26"/>
      <x:c r="AD493" s="55"/>
    </x:row>
    <x:row r="494">
      <x:c r="A494" s="26"/>
      <x:c r="B494" s="26"/>
      <x:c r="C494" s="35"/>
      <x:c r="D494" s="39"/>
      <x:c r="E494" s="39"/>
      <x:c r="F494" s="26"/>
      <x:c r="G494" s="26"/>
      <x:c r="H494" s="26"/>
      <x:c r="I494" s="26"/>
      <x:c r="J494" s="26"/>
      <x:c r="K494" s="43"/>
      <x:c r="L494" s="48"/>
      <x:c r="M494" s="48"/>
      <x:c r="N494" s="48"/>
      <x:c r="O494" s="48"/>
      <x:c r="P494" s="48"/>
      <x:c r="Q494" s="48"/>
      <x:c r="R494" s="48"/>
      <x:c r="S494" s="48"/>
      <x:c r="T494" s="48"/>
      <x:c r="U494" s="48"/>
      <x:c r="V494" s="48"/>
      <x:c r="W494" s="47" t="str">
        <x:f>IF(OR(J494="",K494="",L494="",M494=""),"",IF(J494="Long",(M494-L494)*K494,(L494-M494)*K494))</x:f>
      </x:c>
      <x:c r="X494" s="47" t="str">
        <x:f>IF(COUNTA(S494:V494)=0,"",SUM(S494:V494))</x:f>
      </x:c>
      <x:c r="Y494" s="47" t="str">
        <x:f>IF(W494="","",W494-IF(X494="",0,X494))</x:f>
      </x:c>
      <x:c r="Z494" s="47" t="str">
        <x:f>IF(OR(K494="",L494="",N494=""),"",ABS(L494-N494)*K494)</x:f>
      </x:c>
      <x:c r="AA494" s="52" t="str">
        <x:f>IFERROR(Y494/Z494,"")</x:f>
      </x:c>
      <x:c r="AB494" s="26"/>
      <x:c r="AC494" s="26"/>
      <x:c r="AD494" s="55"/>
    </x:row>
    <x:row r="495">
      <x:c r="A495" s="26"/>
      <x:c r="B495" s="26"/>
      <x:c r="C495" s="35"/>
      <x:c r="D495" s="39"/>
      <x:c r="E495" s="39"/>
      <x:c r="F495" s="26"/>
      <x:c r="G495" s="26"/>
      <x:c r="H495" s="26"/>
      <x:c r="I495" s="26"/>
      <x:c r="J495" s="26"/>
      <x:c r="K495" s="43"/>
      <x:c r="L495" s="48"/>
      <x:c r="M495" s="48"/>
      <x:c r="N495" s="48"/>
      <x:c r="O495" s="48"/>
      <x:c r="P495" s="48"/>
      <x:c r="Q495" s="48"/>
      <x:c r="R495" s="48"/>
      <x:c r="S495" s="48"/>
      <x:c r="T495" s="48"/>
      <x:c r="U495" s="48"/>
      <x:c r="V495" s="48"/>
      <x:c r="W495" s="47" t="str">
        <x:f>IF(OR(J495="",K495="",L495="",M495=""),"",IF(J495="Long",(M495-L495)*K495,(L495-M495)*K495))</x:f>
      </x:c>
      <x:c r="X495" s="47" t="str">
        <x:f>IF(COUNTA(S495:V495)=0,"",SUM(S495:V495))</x:f>
      </x:c>
      <x:c r="Y495" s="47" t="str">
        <x:f>IF(W495="","",W495-IF(X495="",0,X495))</x:f>
      </x:c>
      <x:c r="Z495" s="47" t="str">
        <x:f>IF(OR(K495="",L495="",N495=""),"",ABS(L495-N495)*K495)</x:f>
      </x:c>
      <x:c r="AA495" s="52" t="str">
        <x:f>IFERROR(Y495/Z495,"")</x:f>
      </x:c>
      <x:c r="AB495" s="26"/>
      <x:c r="AC495" s="26"/>
      <x:c r="AD495" s="55"/>
    </x:row>
    <x:row r="496">
      <x:c r="A496" s="26"/>
      <x:c r="B496" s="26"/>
      <x:c r="C496" s="35"/>
      <x:c r="D496" s="39"/>
      <x:c r="E496" s="39"/>
      <x:c r="F496" s="26"/>
      <x:c r="G496" s="26"/>
      <x:c r="H496" s="26"/>
      <x:c r="I496" s="26"/>
      <x:c r="J496" s="26"/>
      <x:c r="K496" s="43"/>
      <x:c r="L496" s="48"/>
      <x:c r="M496" s="48"/>
      <x:c r="N496" s="48"/>
      <x:c r="O496" s="48"/>
      <x:c r="P496" s="48"/>
      <x:c r="Q496" s="48"/>
      <x:c r="R496" s="48"/>
      <x:c r="S496" s="48"/>
      <x:c r="T496" s="48"/>
      <x:c r="U496" s="48"/>
      <x:c r="V496" s="48"/>
      <x:c r="W496" s="47" t="str">
        <x:f>IF(OR(J496="",K496="",L496="",M496=""),"",IF(J496="Long",(M496-L496)*K496,(L496-M496)*K496))</x:f>
      </x:c>
      <x:c r="X496" s="47" t="str">
        <x:f>IF(COUNTA(S496:V496)=0,"",SUM(S496:V496))</x:f>
      </x:c>
      <x:c r="Y496" s="47" t="str">
        <x:f>IF(W496="","",W496-IF(X496="",0,X496))</x:f>
      </x:c>
      <x:c r="Z496" s="47" t="str">
        <x:f>IF(OR(K496="",L496="",N496=""),"",ABS(L496-N496)*K496)</x:f>
      </x:c>
      <x:c r="AA496" s="52" t="str">
        <x:f>IFERROR(Y496/Z496,"")</x:f>
      </x:c>
      <x:c r="AB496" s="26"/>
      <x:c r="AC496" s="26"/>
      <x:c r="AD496" s="55"/>
    </x:row>
    <x:row r="497">
      <x:c r="A497" s="26"/>
      <x:c r="B497" s="26"/>
      <x:c r="C497" s="35"/>
      <x:c r="D497" s="39"/>
      <x:c r="E497" s="39"/>
      <x:c r="F497" s="26"/>
      <x:c r="G497" s="26"/>
      <x:c r="H497" s="26"/>
      <x:c r="I497" s="26"/>
      <x:c r="J497" s="26"/>
      <x:c r="K497" s="43"/>
      <x:c r="L497" s="48"/>
      <x:c r="M497" s="48"/>
      <x:c r="N497" s="48"/>
      <x:c r="O497" s="48"/>
      <x:c r="P497" s="48"/>
      <x:c r="Q497" s="48"/>
      <x:c r="R497" s="48"/>
      <x:c r="S497" s="48"/>
      <x:c r="T497" s="48"/>
      <x:c r="U497" s="48"/>
      <x:c r="V497" s="48"/>
      <x:c r="W497" s="47" t="str">
        <x:f>IF(OR(J497="",K497="",L497="",M497=""),"",IF(J497="Long",(M497-L497)*K497,(L497-M497)*K497))</x:f>
      </x:c>
      <x:c r="X497" s="47" t="str">
        <x:f>IF(COUNTA(S497:V497)=0,"",SUM(S497:V497))</x:f>
      </x:c>
      <x:c r="Y497" s="47" t="str">
        <x:f>IF(W497="","",W497-IF(X497="",0,X497))</x:f>
      </x:c>
      <x:c r="Z497" s="47" t="str">
        <x:f>IF(OR(K497="",L497="",N497=""),"",ABS(L497-N497)*K497)</x:f>
      </x:c>
      <x:c r="AA497" s="52" t="str">
        <x:f>IFERROR(Y497/Z497,"")</x:f>
      </x:c>
      <x:c r="AB497" s="26"/>
      <x:c r="AC497" s="26"/>
      <x:c r="AD497" s="55"/>
    </x:row>
    <x:row r="498">
      <x:c r="A498" s="26"/>
      <x:c r="B498" s="26"/>
      <x:c r="C498" s="35"/>
      <x:c r="D498" s="39"/>
      <x:c r="E498" s="39"/>
      <x:c r="F498" s="26"/>
      <x:c r="G498" s="26"/>
      <x:c r="H498" s="26"/>
      <x:c r="I498" s="26"/>
      <x:c r="J498" s="26"/>
      <x:c r="K498" s="43"/>
      <x:c r="L498" s="48"/>
      <x:c r="M498" s="48"/>
      <x:c r="N498" s="48"/>
      <x:c r="O498" s="48"/>
      <x:c r="P498" s="48"/>
      <x:c r="Q498" s="48"/>
      <x:c r="R498" s="48"/>
      <x:c r="S498" s="48"/>
      <x:c r="T498" s="48"/>
      <x:c r="U498" s="48"/>
      <x:c r="V498" s="48"/>
      <x:c r="W498" s="47" t="str">
        <x:f>IF(OR(J498="",K498="",L498="",M498=""),"",IF(J498="Long",(M498-L498)*K498,(L498-M498)*K498))</x:f>
      </x:c>
      <x:c r="X498" s="47" t="str">
        <x:f>IF(COUNTA(S498:V498)=0,"",SUM(S498:V498))</x:f>
      </x:c>
      <x:c r="Y498" s="47" t="str">
        <x:f>IF(W498="","",W498-IF(X498="",0,X498))</x:f>
      </x:c>
      <x:c r="Z498" s="47" t="str">
        <x:f>IF(OR(K498="",L498="",N498=""),"",ABS(L498-N498)*K498)</x:f>
      </x:c>
      <x:c r="AA498" s="52" t="str">
        <x:f>IFERROR(Y498/Z498,"")</x:f>
      </x:c>
      <x:c r="AB498" s="26"/>
      <x:c r="AC498" s="26"/>
      <x:c r="AD498" s="55"/>
    </x:row>
    <x:row r="499">
      <x:c r="A499" s="26"/>
      <x:c r="B499" s="26"/>
      <x:c r="C499" s="35"/>
      <x:c r="D499" s="39"/>
      <x:c r="E499" s="39"/>
      <x:c r="F499" s="26"/>
      <x:c r="G499" s="26"/>
      <x:c r="H499" s="26"/>
      <x:c r="I499" s="26"/>
      <x:c r="J499" s="26"/>
      <x:c r="K499" s="43"/>
      <x:c r="L499" s="48"/>
      <x:c r="M499" s="48"/>
      <x:c r="N499" s="48"/>
      <x:c r="O499" s="48"/>
      <x:c r="P499" s="48"/>
      <x:c r="Q499" s="48"/>
      <x:c r="R499" s="48"/>
      <x:c r="S499" s="48"/>
      <x:c r="T499" s="48"/>
      <x:c r="U499" s="48"/>
      <x:c r="V499" s="48"/>
      <x:c r="W499" s="47" t="str">
        <x:f>IF(OR(J499="",K499="",L499="",M499=""),"",IF(J499="Long",(M499-L499)*K499,(L499-M499)*K499))</x:f>
      </x:c>
      <x:c r="X499" s="47" t="str">
        <x:f>IF(COUNTA(S499:V499)=0,"",SUM(S499:V499))</x:f>
      </x:c>
      <x:c r="Y499" s="47" t="str">
        <x:f>IF(W499="","",W499-IF(X499="",0,X499))</x:f>
      </x:c>
      <x:c r="Z499" s="47" t="str">
        <x:f>IF(OR(K499="",L499="",N499=""),"",ABS(L499-N499)*K499)</x:f>
      </x:c>
      <x:c r="AA499" s="52" t="str">
        <x:f>IFERROR(Y499/Z499,"")</x:f>
      </x:c>
      <x:c r="AB499" s="26"/>
      <x:c r="AC499" s="26"/>
      <x:c r="AD499" s="55"/>
    </x:row>
    <x:row r="500">
      <x:c r="A500" s="26"/>
      <x:c r="B500" s="26"/>
      <x:c r="C500" s="35"/>
      <x:c r="D500" s="39"/>
      <x:c r="E500" s="39"/>
      <x:c r="F500" s="26"/>
      <x:c r="G500" s="26"/>
      <x:c r="H500" s="26"/>
      <x:c r="I500" s="26"/>
      <x:c r="J500" s="26"/>
      <x:c r="K500" s="43"/>
      <x:c r="L500" s="48"/>
      <x:c r="M500" s="48"/>
      <x:c r="N500" s="48"/>
      <x:c r="O500" s="48"/>
      <x:c r="P500" s="48"/>
      <x:c r="Q500" s="48"/>
      <x:c r="R500" s="48"/>
      <x:c r="S500" s="48"/>
      <x:c r="T500" s="48"/>
      <x:c r="U500" s="48"/>
      <x:c r="V500" s="48"/>
      <x:c r="W500" s="47" t="str">
        <x:f>IF(OR(J500="",K500="",L500="",M500=""),"",IF(J500="Long",(M500-L500)*K500,(L500-M500)*K500))</x:f>
      </x:c>
      <x:c r="X500" s="47" t="str">
        <x:f>IF(COUNTA(S500:V500)=0,"",SUM(S500:V500))</x:f>
      </x:c>
      <x:c r="Y500" s="47" t="str">
        <x:f>IF(W500="","",W500-IF(X500="",0,X500))</x:f>
      </x:c>
      <x:c r="Z500" s="47" t="str">
        <x:f>IF(OR(K500="",L500="",N500=""),"",ABS(L500-N500)*K500)</x:f>
      </x:c>
      <x:c r="AA500" s="52" t="str">
        <x:f>IFERROR(Y500/Z500,"")</x:f>
      </x:c>
      <x:c r="AB500" s="26"/>
      <x:c r="AC500" s="26"/>
      <x:c r="AD500" s="55"/>
    </x:row>
    <x:row r="501">
      <x:c r="A501" s="26"/>
      <x:c r="B501" s="26"/>
      <x:c r="C501" s="35"/>
      <x:c r="D501" s="39"/>
      <x:c r="E501" s="39"/>
      <x:c r="F501" s="26"/>
      <x:c r="G501" s="26"/>
      <x:c r="H501" s="26"/>
      <x:c r="I501" s="26"/>
      <x:c r="J501" s="26"/>
      <x:c r="K501" s="43"/>
      <x:c r="L501" s="48"/>
      <x:c r="M501" s="48"/>
      <x:c r="N501" s="48"/>
      <x:c r="O501" s="48"/>
      <x:c r="P501" s="48"/>
      <x:c r="Q501" s="48"/>
      <x:c r="R501" s="48"/>
      <x:c r="S501" s="48"/>
      <x:c r="T501" s="48"/>
      <x:c r="U501" s="48"/>
      <x:c r="V501" s="48"/>
      <x:c r="W501" s="47" t="str">
        <x:f>IF(OR(J501="",K501="",L501="",M501=""),"",IF(J501="Long",(M501-L501)*K501,(L501-M501)*K501))</x:f>
      </x:c>
      <x:c r="X501" s="47" t="str">
        <x:f>IF(COUNTA(S501:V501)=0,"",SUM(S501:V501))</x:f>
      </x:c>
      <x:c r="Y501" s="47" t="str">
        <x:f>IF(W501="","",W501-IF(X501="",0,X501))</x:f>
      </x:c>
      <x:c r="Z501" s="47" t="str">
        <x:f>IF(OR(K501="",L501="",N501=""),"",ABS(L501-N501)*K501)</x:f>
      </x:c>
      <x:c r="AA501" s="52" t="str">
        <x:f>IFERROR(Y501/Z501,"")</x:f>
      </x:c>
      <x:c r="AB501" s="26"/>
      <x:c r="AC501" s="26"/>
      <x:c r="AD501" s="55"/>
    </x:row>
    <x:row r="502">
      <x:c r="A502" s="26"/>
      <x:c r="B502" s="26"/>
      <x:c r="C502" s="35"/>
      <x:c r="D502" s="39"/>
      <x:c r="E502" s="39"/>
      <x:c r="F502" s="26"/>
      <x:c r="G502" s="26"/>
      <x:c r="H502" s="26"/>
      <x:c r="I502" s="26"/>
      <x:c r="J502" s="26"/>
      <x:c r="K502" s="43"/>
      <x:c r="L502" s="48"/>
      <x:c r="M502" s="48"/>
      <x:c r="N502" s="48"/>
      <x:c r="O502" s="48"/>
      <x:c r="P502" s="48"/>
      <x:c r="Q502" s="48"/>
      <x:c r="R502" s="48"/>
      <x:c r="S502" s="48"/>
      <x:c r="T502" s="48"/>
      <x:c r="U502" s="48"/>
      <x:c r="V502" s="48"/>
      <x:c r="W502" s="47" t="str">
        <x:f>IF(OR(J502="",K502="",L502="",M502=""),"",IF(J502="Long",(M502-L502)*K502,(L502-M502)*K502))</x:f>
      </x:c>
      <x:c r="X502" s="47" t="str">
        <x:f>IF(COUNTA(S502:V502)=0,"",SUM(S502:V502))</x:f>
      </x:c>
      <x:c r="Y502" s="47" t="str">
        <x:f>IF(W502="","",W502-IF(X502="",0,X502))</x:f>
      </x:c>
      <x:c r="Z502" s="47" t="str">
        <x:f>IF(OR(K502="",L502="",N502=""),"",ABS(L502-N502)*K502)</x:f>
      </x:c>
      <x:c r="AA502" s="52" t="str">
        <x:f>IFERROR(Y502/Z502,"")</x:f>
      </x:c>
      <x:c r="AB502" s="26"/>
      <x:c r="AC502" s="26"/>
      <x:c r="AD502" s="55"/>
    </x:row>
    <x:row r="503">
      <x:c r="A503" s="26"/>
      <x:c r="B503" s="26"/>
      <x:c r="C503" s="35"/>
      <x:c r="D503" s="39"/>
      <x:c r="E503" s="39"/>
      <x:c r="F503" s="26"/>
      <x:c r="G503" s="26"/>
      <x:c r="H503" s="26"/>
      <x:c r="I503" s="26"/>
      <x:c r="J503" s="26"/>
      <x:c r="K503" s="43"/>
      <x:c r="L503" s="48"/>
      <x:c r="M503" s="48"/>
      <x:c r="N503" s="48"/>
      <x:c r="O503" s="48"/>
      <x:c r="P503" s="48"/>
      <x:c r="Q503" s="48"/>
      <x:c r="R503" s="48"/>
      <x:c r="S503" s="48"/>
      <x:c r="T503" s="48"/>
      <x:c r="U503" s="48"/>
      <x:c r="V503" s="48"/>
      <x:c r="W503" s="47" t="str">
        <x:f>IF(OR(J503="",K503="",L503="",M503=""),"",IF(J503="Long",(M503-L503)*K503,(L503-M503)*K503))</x:f>
      </x:c>
      <x:c r="X503" s="47" t="str">
        <x:f>IF(COUNTA(S503:V503)=0,"",SUM(S503:V503))</x:f>
      </x:c>
      <x:c r="Y503" s="47" t="str">
        <x:f>IF(W503="","",W503-IF(X503="",0,X503))</x:f>
      </x:c>
      <x:c r="Z503" s="47" t="str">
        <x:f>IF(OR(K503="",L503="",N503=""),"",ABS(L503-N503)*K503)</x:f>
      </x:c>
      <x:c r="AA503" s="52" t="str">
        <x:f>IFERROR(Y503/Z503,"")</x:f>
      </x:c>
      <x:c r="AB503" s="26"/>
      <x:c r="AC503" s="26"/>
      <x:c r="AD503" s="55"/>
    </x:row>
  </x:sheetData>
  <x:mergeCells>
    <x:mergeCell ref="A1:AD1"/>
    <x:mergeCell ref="A2:AD2"/>
  </x:mergeCells>
  <x:conditionalFormatting sqref="Y4:Y503">
    <x:cfRule type="expression" dxfId="0" priority="1">
      <x:formula>Y4&gt;0</x:formula>
    </x:cfRule>
    <x:cfRule type="expression" dxfId="1" priority="2">
      <x:formula>Y4&lt;0</x:formula>
    </x:cfRule>
  </x:conditionalFormatting>
  <x:conditionalFormatting sqref="AA4:AA503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9">
    <x:dataValidation type="list" sqref="B4:B503">
      <x:formula1>Lists!$I$2:$I$3</x:formula1>
    </x:dataValidation>
    <x:dataValidation type="list" sqref="F4:F503">
      <x:formula1>Lists!$F$2:$F$7</x:formula1>
    </x:dataValidation>
    <x:dataValidation type="list" sqref="G4:G503">
      <x:formula1>Lists!$A$2:$A$11</x:formula1>
    </x:dataValidation>
    <x:dataValidation type="list" sqref="J4:J503">
      <x:formula1>Lists!$B$2:$B$3</x:formula1>
    </x:dataValidation>
    <x:dataValidation type="list" sqref="P4:P503">
      <x:formula1>Lists!$C$2:$C$11</x:formula1>
    </x:dataValidation>
    <x:dataValidation type="list" sqref="Q4:Q503">
      <x:formula1>Lists!$D$2:$D$13</x:formula1>
    </x:dataValidation>
    <x:dataValidation type="list" sqref="R4:R503">
      <x:formula1>Lists!$E$2:$E$11</x:formula1>
    </x:dataValidation>
    <x:dataValidation type="list" sqref="AB4:AB503">
      <x:formula1>Lists!$G$2:$G$4</x:formula1>
    </x:dataValidation>
    <x:dataValidation type="list" sqref="AC4:AC503">
      <x:formula1>Lists!$H$2:$H$3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5" hidden="0" customWidth="1"/>
    <x:col min="17" max="17" width="16" hidden="0" customWidth="1"/>
  </x:cols>
  <x:sheetData>
    <x:row r="1" ht="30" customHeight="1">
      <x:c r="A1" s="14" t="str">
        <x:v>Raw Broker / CSV Import Staging Area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</x:row>
    <x:row r="2" ht="36" customHeight="1">
      <x:c r="A2" s="21" t="str">
        <x:v>Paste or import broker-export rows here without changing the source values. Map and clean them before copying completed trades into the Trades sheet.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</x:row>
    <x:row r="3">
      <x:c r="A3" s="6" t="str">
        <x:v>Source / Broker</x:v>
      </x:c>
      <x:c r="B3" s="6" t="str">
        <x:v>Import Batch ID</x:v>
      </x:c>
      <x:c r="C3" s="6" t="str">
        <x:v>Source Row</x:v>
      </x:c>
      <x:c r="D3" s="6" t="str">
        <x:v>Order ID</x:v>
      </x:c>
      <x:c r="E3" s="6" t="str">
        <x:v>Trade ID</x:v>
      </x:c>
      <x:c r="F3" s="6" t="str">
        <x:v>Exchange</x:v>
      </x:c>
      <x:c r="G3" s="6" t="str">
        <x:v>Segment</x:v>
      </x:c>
      <x:c r="H3" s="6" t="str">
        <x:v>Symbol</x:v>
      </x:c>
      <x:c r="I3" s="6" t="str">
        <x:v>Transaction Type</x:v>
      </x:c>
      <x:c r="J3" s="6" t="str">
        <x:v>Quantity</x:v>
      </x:c>
      <x:c r="K3" s="6" t="str">
        <x:v>Price</x:v>
      </x:c>
      <x:c r="L3" s="6" t="str">
        <x:v>Trade Date</x:v>
      </x:c>
      <x:c r="M3" s="6" t="str">
        <x:v>Trade Time</x:v>
      </x:c>
      <x:c r="N3" s="6" t="str">
        <x:v>Brokerage</x:v>
      </x:c>
      <x:c r="O3" s="6" t="str">
        <x:v>Other Charges</x:v>
      </x:c>
      <x:c r="P3" s="6" t="str">
        <x:v>Raw Notes</x:v>
      </x:c>
      <x:c r="Q3" s="6" t="str">
        <x:v>Mapped?</x:v>
      </x:c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60"/>
      <x:c r="K4" s="60"/>
      <x:c r="L4" s="60"/>
      <x:c r="M4" s="60"/>
      <x:c r="N4" s="60"/>
      <x:c r="O4" s="60"/>
      <x:c r="P4" s="26"/>
      <x:c r="Q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60"/>
      <x:c r="K5" s="60"/>
      <x:c r="L5" s="60"/>
      <x:c r="M5" s="60"/>
      <x:c r="N5" s="60"/>
      <x:c r="O5" s="60"/>
      <x:c r="P5" s="26"/>
      <x:c r="Q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60"/>
      <x:c r="K6" s="60"/>
      <x:c r="L6" s="60"/>
      <x:c r="M6" s="60"/>
      <x:c r="N6" s="60"/>
      <x:c r="O6" s="60"/>
      <x:c r="P6" s="26"/>
      <x:c r="Q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60"/>
      <x:c r="K7" s="60"/>
      <x:c r="L7" s="60"/>
      <x:c r="M7" s="60"/>
      <x:c r="N7" s="60"/>
      <x:c r="O7" s="60"/>
      <x:c r="P7" s="26"/>
      <x:c r="Q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60"/>
      <x:c r="K8" s="60"/>
      <x:c r="L8" s="60"/>
      <x:c r="M8" s="60"/>
      <x:c r="N8" s="60"/>
      <x:c r="O8" s="60"/>
      <x:c r="P8" s="26"/>
      <x:c r="Q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60"/>
      <x:c r="K9" s="60"/>
      <x:c r="L9" s="60"/>
      <x:c r="M9" s="60"/>
      <x:c r="N9" s="60"/>
      <x:c r="O9" s="60"/>
      <x:c r="P9" s="26"/>
      <x:c r="Q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60"/>
      <x:c r="K10" s="60"/>
      <x:c r="L10" s="60"/>
      <x:c r="M10" s="60"/>
      <x:c r="N10" s="60"/>
      <x:c r="O10" s="60"/>
      <x:c r="P10" s="26"/>
      <x:c r="Q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60"/>
      <x:c r="K11" s="60"/>
      <x:c r="L11" s="60"/>
      <x:c r="M11" s="60"/>
      <x:c r="N11" s="60"/>
      <x:c r="O11" s="60"/>
      <x:c r="P11" s="26"/>
      <x:c r="Q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60"/>
      <x:c r="K12" s="60"/>
      <x:c r="L12" s="60"/>
      <x:c r="M12" s="60"/>
      <x:c r="N12" s="60"/>
      <x:c r="O12" s="60"/>
      <x:c r="P12" s="26"/>
      <x:c r="Q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60"/>
      <x:c r="K13" s="60"/>
      <x:c r="L13" s="60"/>
      <x:c r="M13" s="60"/>
      <x:c r="N13" s="60"/>
      <x:c r="O13" s="60"/>
      <x:c r="P13" s="26"/>
      <x:c r="Q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60"/>
      <x:c r="K14" s="60"/>
      <x:c r="L14" s="60"/>
      <x:c r="M14" s="60"/>
      <x:c r="N14" s="60"/>
      <x:c r="O14" s="60"/>
      <x:c r="P14" s="26"/>
      <x:c r="Q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60"/>
      <x:c r="K15" s="60"/>
      <x:c r="L15" s="60"/>
      <x:c r="M15" s="60"/>
      <x:c r="N15" s="60"/>
      <x:c r="O15" s="60"/>
      <x:c r="P15" s="26"/>
      <x:c r="Q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60"/>
      <x:c r="K16" s="60"/>
      <x:c r="L16" s="60"/>
      <x:c r="M16" s="60"/>
      <x:c r="N16" s="60"/>
      <x:c r="O16" s="60"/>
      <x:c r="P16" s="26"/>
      <x:c r="Q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60"/>
      <x:c r="K17" s="60"/>
      <x:c r="L17" s="60"/>
      <x:c r="M17" s="60"/>
      <x:c r="N17" s="60"/>
      <x:c r="O17" s="60"/>
      <x:c r="P17" s="26"/>
      <x:c r="Q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60"/>
      <x:c r="K18" s="60"/>
      <x:c r="L18" s="60"/>
      <x:c r="M18" s="60"/>
      <x:c r="N18" s="60"/>
      <x:c r="O18" s="60"/>
      <x:c r="P18" s="26"/>
      <x:c r="Q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60"/>
      <x:c r="K19" s="60"/>
      <x:c r="L19" s="60"/>
      <x:c r="M19" s="60"/>
      <x:c r="N19" s="60"/>
      <x:c r="O19" s="60"/>
      <x:c r="P19" s="26"/>
      <x:c r="Q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60"/>
      <x:c r="K20" s="60"/>
      <x:c r="L20" s="60"/>
      <x:c r="M20" s="60"/>
      <x:c r="N20" s="60"/>
      <x:c r="O20" s="60"/>
      <x:c r="P20" s="26"/>
      <x:c r="Q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60"/>
      <x:c r="K21" s="60"/>
      <x:c r="L21" s="60"/>
      <x:c r="M21" s="60"/>
      <x:c r="N21" s="60"/>
      <x:c r="O21" s="60"/>
      <x:c r="P21" s="26"/>
      <x:c r="Q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60"/>
      <x:c r="K22" s="60"/>
      <x:c r="L22" s="60"/>
      <x:c r="M22" s="60"/>
      <x:c r="N22" s="60"/>
      <x:c r="O22" s="60"/>
      <x:c r="P22" s="26"/>
      <x:c r="Q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60"/>
      <x:c r="K23" s="60"/>
      <x:c r="L23" s="60"/>
      <x:c r="M23" s="60"/>
      <x:c r="N23" s="60"/>
      <x:c r="O23" s="60"/>
      <x:c r="P23" s="26"/>
      <x:c r="Q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60"/>
      <x:c r="K24" s="60"/>
      <x:c r="L24" s="60"/>
      <x:c r="M24" s="60"/>
      <x:c r="N24" s="60"/>
      <x:c r="O24" s="60"/>
      <x:c r="P24" s="26"/>
      <x:c r="Q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60"/>
      <x:c r="K25" s="60"/>
      <x:c r="L25" s="60"/>
      <x:c r="M25" s="60"/>
      <x:c r="N25" s="60"/>
      <x:c r="O25" s="60"/>
      <x:c r="P25" s="26"/>
      <x:c r="Q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60"/>
      <x:c r="K26" s="60"/>
      <x:c r="L26" s="60"/>
      <x:c r="M26" s="60"/>
      <x:c r="N26" s="60"/>
      <x:c r="O26" s="60"/>
      <x:c r="P26" s="26"/>
      <x:c r="Q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60"/>
      <x:c r="K27" s="60"/>
      <x:c r="L27" s="60"/>
      <x:c r="M27" s="60"/>
      <x:c r="N27" s="60"/>
      <x:c r="O27" s="60"/>
      <x:c r="P27" s="26"/>
      <x:c r="Q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60"/>
      <x:c r="K28" s="60"/>
      <x:c r="L28" s="60"/>
      <x:c r="M28" s="60"/>
      <x:c r="N28" s="60"/>
      <x:c r="O28" s="60"/>
      <x:c r="P28" s="26"/>
      <x:c r="Q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60"/>
      <x:c r="K29" s="60"/>
      <x:c r="L29" s="60"/>
      <x:c r="M29" s="60"/>
      <x:c r="N29" s="60"/>
      <x:c r="O29" s="60"/>
      <x:c r="P29" s="26"/>
      <x:c r="Q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60"/>
      <x:c r="K30" s="60"/>
      <x:c r="L30" s="60"/>
      <x:c r="M30" s="60"/>
      <x:c r="N30" s="60"/>
      <x:c r="O30" s="60"/>
      <x:c r="P30" s="26"/>
      <x:c r="Q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60"/>
      <x:c r="K31" s="60"/>
      <x:c r="L31" s="60"/>
      <x:c r="M31" s="60"/>
      <x:c r="N31" s="60"/>
      <x:c r="O31" s="60"/>
      <x:c r="P31" s="26"/>
      <x:c r="Q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60"/>
      <x:c r="K32" s="60"/>
      <x:c r="L32" s="60"/>
      <x:c r="M32" s="60"/>
      <x:c r="N32" s="60"/>
      <x:c r="O32" s="60"/>
      <x:c r="P32" s="26"/>
      <x:c r="Q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60"/>
      <x:c r="K33" s="60"/>
      <x:c r="L33" s="60"/>
      <x:c r="M33" s="60"/>
      <x:c r="N33" s="60"/>
      <x:c r="O33" s="60"/>
      <x:c r="P33" s="26"/>
      <x:c r="Q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60"/>
      <x:c r="K34" s="60"/>
      <x:c r="L34" s="60"/>
      <x:c r="M34" s="60"/>
      <x:c r="N34" s="60"/>
      <x:c r="O34" s="60"/>
      <x:c r="P34" s="26"/>
      <x:c r="Q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60"/>
      <x:c r="K35" s="60"/>
      <x:c r="L35" s="60"/>
      <x:c r="M35" s="60"/>
      <x:c r="N35" s="60"/>
      <x:c r="O35" s="60"/>
      <x:c r="P35" s="26"/>
      <x:c r="Q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60"/>
      <x:c r="K36" s="60"/>
      <x:c r="L36" s="60"/>
      <x:c r="M36" s="60"/>
      <x:c r="N36" s="60"/>
      <x:c r="O36" s="60"/>
      <x:c r="P36" s="26"/>
      <x:c r="Q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60"/>
      <x:c r="K37" s="60"/>
      <x:c r="L37" s="60"/>
      <x:c r="M37" s="60"/>
      <x:c r="N37" s="60"/>
      <x:c r="O37" s="60"/>
      <x:c r="P37" s="26"/>
      <x:c r="Q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60"/>
      <x:c r="K38" s="60"/>
      <x:c r="L38" s="60"/>
      <x:c r="M38" s="60"/>
      <x:c r="N38" s="60"/>
      <x:c r="O38" s="60"/>
      <x:c r="P38" s="26"/>
      <x:c r="Q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60"/>
      <x:c r="K39" s="60"/>
      <x:c r="L39" s="60"/>
      <x:c r="M39" s="60"/>
      <x:c r="N39" s="60"/>
      <x:c r="O39" s="60"/>
      <x:c r="P39" s="26"/>
      <x:c r="Q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60"/>
      <x:c r="K40" s="60"/>
      <x:c r="L40" s="60"/>
      <x:c r="M40" s="60"/>
      <x:c r="N40" s="60"/>
      <x:c r="O40" s="60"/>
      <x:c r="P40" s="26"/>
      <x:c r="Q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60"/>
      <x:c r="K41" s="60"/>
      <x:c r="L41" s="60"/>
      <x:c r="M41" s="60"/>
      <x:c r="N41" s="60"/>
      <x:c r="O41" s="60"/>
      <x:c r="P41" s="26"/>
      <x:c r="Q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60"/>
      <x:c r="K42" s="60"/>
      <x:c r="L42" s="60"/>
      <x:c r="M42" s="60"/>
      <x:c r="N42" s="60"/>
      <x:c r="O42" s="60"/>
      <x:c r="P42" s="26"/>
      <x:c r="Q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60"/>
      <x:c r="K43" s="60"/>
      <x:c r="L43" s="60"/>
      <x:c r="M43" s="60"/>
      <x:c r="N43" s="60"/>
      <x:c r="O43" s="60"/>
      <x:c r="P43" s="26"/>
      <x:c r="Q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60"/>
      <x:c r="K44" s="60"/>
      <x:c r="L44" s="60"/>
      <x:c r="M44" s="60"/>
      <x:c r="N44" s="60"/>
      <x:c r="O44" s="60"/>
      <x:c r="P44" s="26"/>
      <x:c r="Q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60"/>
      <x:c r="K45" s="60"/>
      <x:c r="L45" s="60"/>
      <x:c r="M45" s="60"/>
      <x:c r="N45" s="60"/>
      <x:c r="O45" s="60"/>
      <x:c r="P45" s="26"/>
      <x:c r="Q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60"/>
      <x:c r="K46" s="60"/>
      <x:c r="L46" s="60"/>
      <x:c r="M46" s="60"/>
      <x:c r="N46" s="60"/>
      <x:c r="O46" s="60"/>
      <x:c r="P46" s="26"/>
      <x:c r="Q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60"/>
      <x:c r="K47" s="60"/>
      <x:c r="L47" s="60"/>
      <x:c r="M47" s="60"/>
      <x:c r="N47" s="60"/>
      <x:c r="O47" s="60"/>
      <x:c r="P47" s="26"/>
      <x:c r="Q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60"/>
      <x:c r="K48" s="60"/>
      <x:c r="L48" s="60"/>
      <x:c r="M48" s="60"/>
      <x:c r="N48" s="60"/>
      <x:c r="O48" s="60"/>
      <x:c r="P48" s="26"/>
      <x:c r="Q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60"/>
      <x:c r="K49" s="60"/>
      <x:c r="L49" s="60"/>
      <x:c r="M49" s="60"/>
      <x:c r="N49" s="60"/>
      <x:c r="O49" s="60"/>
      <x:c r="P49" s="26"/>
      <x:c r="Q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60"/>
      <x:c r="K50" s="60"/>
      <x:c r="L50" s="60"/>
      <x:c r="M50" s="60"/>
      <x:c r="N50" s="60"/>
      <x:c r="O50" s="60"/>
      <x:c r="P50" s="26"/>
      <x:c r="Q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60"/>
      <x:c r="K51" s="60"/>
      <x:c r="L51" s="60"/>
      <x:c r="M51" s="60"/>
      <x:c r="N51" s="60"/>
      <x:c r="O51" s="60"/>
      <x:c r="P51" s="26"/>
      <x:c r="Q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60"/>
      <x:c r="K52" s="60"/>
      <x:c r="L52" s="60"/>
      <x:c r="M52" s="60"/>
      <x:c r="N52" s="60"/>
      <x:c r="O52" s="60"/>
      <x:c r="P52" s="26"/>
      <x:c r="Q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60"/>
      <x:c r="K53" s="60"/>
      <x:c r="L53" s="60"/>
      <x:c r="M53" s="60"/>
      <x:c r="N53" s="60"/>
      <x:c r="O53" s="60"/>
      <x:c r="P53" s="26"/>
      <x:c r="Q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60"/>
      <x:c r="K54" s="60"/>
      <x:c r="L54" s="60"/>
      <x:c r="M54" s="60"/>
      <x:c r="N54" s="60"/>
      <x:c r="O54" s="60"/>
      <x:c r="P54" s="26"/>
      <x:c r="Q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60"/>
      <x:c r="K55" s="60"/>
      <x:c r="L55" s="60"/>
      <x:c r="M55" s="60"/>
      <x:c r="N55" s="60"/>
      <x:c r="O55" s="60"/>
      <x:c r="P55" s="26"/>
      <x:c r="Q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60"/>
      <x:c r="K56" s="60"/>
      <x:c r="L56" s="60"/>
      <x:c r="M56" s="60"/>
      <x:c r="N56" s="60"/>
      <x:c r="O56" s="60"/>
      <x:c r="P56" s="26"/>
      <x:c r="Q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60"/>
      <x:c r="K57" s="60"/>
      <x:c r="L57" s="60"/>
      <x:c r="M57" s="60"/>
      <x:c r="N57" s="60"/>
      <x:c r="O57" s="60"/>
      <x:c r="P57" s="26"/>
      <x:c r="Q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60"/>
      <x:c r="K58" s="60"/>
      <x:c r="L58" s="60"/>
      <x:c r="M58" s="60"/>
      <x:c r="N58" s="60"/>
      <x:c r="O58" s="60"/>
      <x:c r="P58" s="26"/>
      <x:c r="Q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60"/>
      <x:c r="K59" s="60"/>
      <x:c r="L59" s="60"/>
      <x:c r="M59" s="60"/>
      <x:c r="N59" s="60"/>
      <x:c r="O59" s="60"/>
      <x:c r="P59" s="26"/>
      <x:c r="Q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60"/>
      <x:c r="K60" s="60"/>
      <x:c r="L60" s="60"/>
      <x:c r="M60" s="60"/>
      <x:c r="N60" s="60"/>
      <x:c r="O60" s="60"/>
      <x:c r="P60" s="26"/>
      <x:c r="Q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60"/>
      <x:c r="K61" s="60"/>
      <x:c r="L61" s="60"/>
      <x:c r="M61" s="60"/>
      <x:c r="N61" s="60"/>
      <x:c r="O61" s="60"/>
      <x:c r="P61" s="26"/>
      <x:c r="Q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60"/>
      <x:c r="K62" s="60"/>
      <x:c r="L62" s="60"/>
      <x:c r="M62" s="60"/>
      <x:c r="N62" s="60"/>
      <x:c r="O62" s="60"/>
      <x:c r="P62" s="26"/>
      <x:c r="Q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60"/>
      <x:c r="K63" s="60"/>
      <x:c r="L63" s="60"/>
      <x:c r="M63" s="60"/>
      <x:c r="N63" s="60"/>
      <x:c r="O63" s="60"/>
      <x:c r="P63" s="26"/>
      <x:c r="Q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60"/>
      <x:c r="K64" s="60"/>
      <x:c r="L64" s="60"/>
      <x:c r="M64" s="60"/>
      <x:c r="N64" s="60"/>
      <x:c r="O64" s="60"/>
      <x:c r="P64" s="26"/>
      <x:c r="Q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60"/>
      <x:c r="K65" s="60"/>
      <x:c r="L65" s="60"/>
      <x:c r="M65" s="60"/>
      <x:c r="N65" s="60"/>
      <x:c r="O65" s="60"/>
      <x:c r="P65" s="26"/>
      <x:c r="Q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60"/>
      <x:c r="K66" s="60"/>
      <x:c r="L66" s="60"/>
      <x:c r="M66" s="60"/>
      <x:c r="N66" s="60"/>
      <x:c r="O66" s="60"/>
      <x:c r="P66" s="26"/>
      <x:c r="Q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60"/>
      <x:c r="K67" s="60"/>
      <x:c r="L67" s="60"/>
      <x:c r="M67" s="60"/>
      <x:c r="N67" s="60"/>
      <x:c r="O67" s="60"/>
      <x:c r="P67" s="26"/>
      <x:c r="Q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60"/>
      <x:c r="K68" s="60"/>
      <x:c r="L68" s="60"/>
      <x:c r="M68" s="60"/>
      <x:c r="N68" s="60"/>
      <x:c r="O68" s="60"/>
      <x:c r="P68" s="26"/>
      <x:c r="Q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60"/>
      <x:c r="K69" s="60"/>
      <x:c r="L69" s="60"/>
      <x:c r="M69" s="60"/>
      <x:c r="N69" s="60"/>
      <x:c r="O69" s="60"/>
      <x:c r="P69" s="26"/>
      <x:c r="Q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60"/>
      <x:c r="K70" s="60"/>
      <x:c r="L70" s="60"/>
      <x:c r="M70" s="60"/>
      <x:c r="N70" s="60"/>
      <x:c r="O70" s="60"/>
      <x:c r="P70" s="26"/>
      <x:c r="Q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60"/>
      <x:c r="K71" s="60"/>
      <x:c r="L71" s="60"/>
      <x:c r="M71" s="60"/>
      <x:c r="N71" s="60"/>
      <x:c r="O71" s="60"/>
      <x:c r="P71" s="26"/>
      <x:c r="Q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60"/>
      <x:c r="K72" s="60"/>
      <x:c r="L72" s="60"/>
      <x:c r="M72" s="60"/>
      <x:c r="N72" s="60"/>
      <x:c r="O72" s="60"/>
      <x:c r="P72" s="26"/>
      <x:c r="Q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60"/>
      <x:c r="K73" s="60"/>
      <x:c r="L73" s="60"/>
      <x:c r="M73" s="60"/>
      <x:c r="N73" s="60"/>
      <x:c r="O73" s="60"/>
      <x:c r="P73" s="26"/>
      <x:c r="Q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60"/>
      <x:c r="K74" s="60"/>
      <x:c r="L74" s="60"/>
      <x:c r="M74" s="60"/>
      <x:c r="N74" s="60"/>
      <x:c r="O74" s="60"/>
      <x:c r="P74" s="26"/>
      <x:c r="Q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60"/>
      <x:c r="K75" s="60"/>
      <x:c r="L75" s="60"/>
      <x:c r="M75" s="60"/>
      <x:c r="N75" s="60"/>
      <x:c r="O75" s="60"/>
      <x:c r="P75" s="26"/>
      <x:c r="Q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60"/>
      <x:c r="K76" s="60"/>
      <x:c r="L76" s="60"/>
      <x:c r="M76" s="60"/>
      <x:c r="N76" s="60"/>
      <x:c r="O76" s="60"/>
      <x:c r="P76" s="26"/>
      <x:c r="Q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60"/>
      <x:c r="K77" s="60"/>
      <x:c r="L77" s="60"/>
      <x:c r="M77" s="60"/>
      <x:c r="N77" s="60"/>
      <x:c r="O77" s="60"/>
      <x:c r="P77" s="26"/>
      <x:c r="Q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60"/>
      <x:c r="K78" s="60"/>
      <x:c r="L78" s="60"/>
      <x:c r="M78" s="60"/>
      <x:c r="N78" s="60"/>
      <x:c r="O78" s="60"/>
      <x:c r="P78" s="26"/>
      <x:c r="Q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60"/>
      <x:c r="K79" s="60"/>
      <x:c r="L79" s="60"/>
      <x:c r="M79" s="60"/>
      <x:c r="N79" s="60"/>
      <x:c r="O79" s="60"/>
      <x:c r="P79" s="26"/>
      <x:c r="Q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60"/>
      <x:c r="K80" s="60"/>
      <x:c r="L80" s="60"/>
      <x:c r="M80" s="60"/>
      <x:c r="N80" s="60"/>
      <x:c r="O80" s="60"/>
      <x:c r="P80" s="26"/>
      <x:c r="Q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60"/>
      <x:c r="K81" s="60"/>
      <x:c r="L81" s="60"/>
      <x:c r="M81" s="60"/>
      <x:c r="N81" s="60"/>
      <x:c r="O81" s="60"/>
      <x:c r="P81" s="26"/>
      <x:c r="Q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60"/>
      <x:c r="K82" s="60"/>
      <x:c r="L82" s="60"/>
      <x:c r="M82" s="60"/>
      <x:c r="N82" s="60"/>
      <x:c r="O82" s="60"/>
      <x:c r="P82" s="26"/>
      <x:c r="Q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60"/>
      <x:c r="K83" s="60"/>
      <x:c r="L83" s="60"/>
      <x:c r="M83" s="60"/>
      <x:c r="N83" s="60"/>
      <x:c r="O83" s="60"/>
      <x:c r="P83" s="26"/>
      <x:c r="Q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60"/>
      <x:c r="K84" s="60"/>
      <x:c r="L84" s="60"/>
      <x:c r="M84" s="60"/>
      <x:c r="N84" s="60"/>
      <x:c r="O84" s="60"/>
      <x:c r="P84" s="26"/>
      <x:c r="Q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60"/>
      <x:c r="K85" s="60"/>
      <x:c r="L85" s="60"/>
      <x:c r="M85" s="60"/>
      <x:c r="N85" s="60"/>
      <x:c r="O85" s="60"/>
      <x:c r="P85" s="26"/>
      <x:c r="Q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60"/>
      <x:c r="K86" s="60"/>
      <x:c r="L86" s="60"/>
      <x:c r="M86" s="60"/>
      <x:c r="N86" s="60"/>
      <x:c r="O86" s="60"/>
      <x:c r="P86" s="26"/>
      <x:c r="Q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60"/>
      <x:c r="K87" s="60"/>
      <x:c r="L87" s="60"/>
      <x:c r="M87" s="60"/>
      <x:c r="N87" s="60"/>
      <x:c r="O87" s="60"/>
      <x:c r="P87" s="26"/>
      <x:c r="Q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60"/>
      <x:c r="K88" s="60"/>
      <x:c r="L88" s="60"/>
      <x:c r="M88" s="60"/>
      <x:c r="N88" s="60"/>
      <x:c r="O88" s="60"/>
      <x:c r="P88" s="26"/>
      <x:c r="Q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60"/>
      <x:c r="K89" s="60"/>
      <x:c r="L89" s="60"/>
      <x:c r="M89" s="60"/>
      <x:c r="N89" s="60"/>
      <x:c r="O89" s="60"/>
      <x:c r="P89" s="26"/>
      <x:c r="Q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60"/>
      <x:c r="K90" s="60"/>
      <x:c r="L90" s="60"/>
      <x:c r="M90" s="60"/>
      <x:c r="N90" s="60"/>
      <x:c r="O90" s="60"/>
      <x:c r="P90" s="26"/>
      <x:c r="Q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60"/>
      <x:c r="K91" s="60"/>
      <x:c r="L91" s="60"/>
      <x:c r="M91" s="60"/>
      <x:c r="N91" s="60"/>
      <x:c r="O91" s="60"/>
      <x:c r="P91" s="26"/>
      <x:c r="Q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60"/>
      <x:c r="K92" s="60"/>
      <x:c r="L92" s="60"/>
      <x:c r="M92" s="60"/>
      <x:c r="N92" s="60"/>
      <x:c r="O92" s="60"/>
      <x:c r="P92" s="26"/>
      <x:c r="Q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60"/>
      <x:c r="K93" s="60"/>
      <x:c r="L93" s="60"/>
      <x:c r="M93" s="60"/>
      <x:c r="N93" s="60"/>
      <x:c r="O93" s="60"/>
      <x:c r="P93" s="26"/>
      <x:c r="Q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60"/>
      <x:c r="K94" s="60"/>
      <x:c r="L94" s="60"/>
      <x:c r="M94" s="60"/>
      <x:c r="N94" s="60"/>
      <x:c r="O94" s="60"/>
      <x:c r="P94" s="26"/>
      <x:c r="Q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60"/>
      <x:c r="K95" s="60"/>
      <x:c r="L95" s="60"/>
      <x:c r="M95" s="60"/>
      <x:c r="N95" s="60"/>
      <x:c r="O95" s="60"/>
      <x:c r="P95" s="26"/>
      <x:c r="Q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60"/>
      <x:c r="K96" s="60"/>
      <x:c r="L96" s="60"/>
      <x:c r="M96" s="60"/>
      <x:c r="N96" s="60"/>
      <x:c r="O96" s="60"/>
      <x:c r="P96" s="26"/>
      <x:c r="Q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60"/>
      <x:c r="K97" s="60"/>
      <x:c r="L97" s="60"/>
      <x:c r="M97" s="60"/>
      <x:c r="N97" s="60"/>
      <x:c r="O97" s="60"/>
      <x:c r="P97" s="26"/>
      <x:c r="Q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60"/>
      <x:c r="K98" s="60"/>
      <x:c r="L98" s="60"/>
      <x:c r="M98" s="60"/>
      <x:c r="N98" s="60"/>
      <x:c r="O98" s="60"/>
      <x:c r="P98" s="26"/>
      <x:c r="Q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60"/>
      <x:c r="K99" s="60"/>
      <x:c r="L99" s="60"/>
      <x:c r="M99" s="60"/>
      <x:c r="N99" s="60"/>
      <x:c r="O99" s="60"/>
      <x:c r="P99" s="26"/>
      <x:c r="Q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60"/>
      <x:c r="K100" s="60"/>
      <x:c r="L100" s="60"/>
      <x:c r="M100" s="60"/>
      <x:c r="N100" s="60"/>
      <x:c r="O100" s="60"/>
      <x:c r="P100" s="26"/>
      <x:c r="Q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60"/>
      <x:c r="K101" s="60"/>
      <x:c r="L101" s="60"/>
      <x:c r="M101" s="60"/>
      <x:c r="N101" s="60"/>
      <x:c r="O101" s="60"/>
      <x:c r="P101" s="26"/>
      <x:c r="Q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60"/>
      <x:c r="K102" s="60"/>
      <x:c r="L102" s="60"/>
      <x:c r="M102" s="60"/>
      <x:c r="N102" s="60"/>
      <x:c r="O102" s="60"/>
      <x:c r="P102" s="26"/>
      <x:c r="Q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60"/>
      <x:c r="K103" s="60"/>
      <x:c r="L103" s="60"/>
      <x:c r="M103" s="60"/>
      <x:c r="N103" s="60"/>
      <x:c r="O103" s="60"/>
      <x:c r="P103" s="26"/>
      <x:c r="Q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60"/>
      <x:c r="K104" s="60"/>
      <x:c r="L104" s="60"/>
      <x:c r="M104" s="60"/>
      <x:c r="N104" s="60"/>
      <x:c r="O104" s="60"/>
      <x:c r="P104" s="26"/>
      <x:c r="Q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60"/>
      <x:c r="K105" s="60"/>
      <x:c r="L105" s="60"/>
      <x:c r="M105" s="60"/>
      <x:c r="N105" s="60"/>
      <x:c r="O105" s="60"/>
      <x:c r="P105" s="26"/>
      <x:c r="Q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60"/>
      <x:c r="K106" s="60"/>
      <x:c r="L106" s="60"/>
      <x:c r="M106" s="60"/>
      <x:c r="N106" s="60"/>
      <x:c r="O106" s="60"/>
      <x:c r="P106" s="26"/>
      <x:c r="Q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60"/>
      <x:c r="K107" s="60"/>
      <x:c r="L107" s="60"/>
      <x:c r="M107" s="60"/>
      <x:c r="N107" s="60"/>
      <x:c r="O107" s="60"/>
      <x:c r="P107" s="26"/>
      <x:c r="Q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60"/>
      <x:c r="K108" s="60"/>
      <x:c r="L108" s="60"/>
      <x:c r="M108" s="60"/>
      <x:c r="N108" s="60"/>
      <x:c r="O108" s="60"/>
      <x:c r="P108" s="26"/>
      <x:c r="Q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60"/>
      <x:c r="K109" s="60"/>
      <x:c r="L109" s="60"/>
      <x:c r="M109" s="60"/>
      <x:c r="N109" s="60"/>
      <x:c r="O109" s="60"/>
      <x:c r="P109" s="26"/>
      <x:c r="Q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60"/>
      <x:c r="K110" s="60"/>
      <x:c r="L110" s="60"/>
      <x:c r="M110" s="60"/>
      <x:c r="N110" s="60"/>
      <x:c r="O110" s="60"/>
      <x:c r="P110" s="26"/>
      <x:c r="Q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60"/>
      <x:c r="K111" s="60"/>
      <x:c r="L111" s="60"/>
      <x:c r="M111" s="60"/>
      <x:c r="N111" s="60"/>
      <x:c r="O111" s="60"/>
      <x:c r="P111" s="26"/>
      <x:c r="Q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60"/>
      <x:c r="K112" s="60"/>
      <x:c r="L112" s="60"/>
      <x:c r="M112" s="60"/>
      <x:c r="N112" s="60"/>
      <x:c r="O112" s="60"/>
      <x:c r="P112" s="26"/>
      <x:c r="Q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60"/>
      <x:c r="K113" s="60"/>
      <x:c r="L113" s="60"/>
      <x:c r="M113" s="60"/>
      <x:c r="N113" s="60"/>
      <x:c r="O113" s="60"/>
      <x:c r="P113" s="26"/>
      <x:c r="Q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60"/>
      <x:c r="K114" s="60"/>
      <x:c r="L114" s="60"/>
      <x:c r="M114" s="60"/>
      <x:c r="N114" s="60"/>
      <x:c r="O114" s="60"/>
      <x:c r="P114" s="26"/>
      <x:c r="Q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60"/>
      <x:c r="K115" s="60"/>
      <x:c r="L115" s="60"/>
      <x:c r="M115" s="60"/>
      <x:c r="N115" s="60"/>
      <x:c r="O115" s="60"/>
      <x:c r="P115" s="26"/>
      <x:c r="Q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60"/>
      <x:c r="K116" s="60"/>
      <x:c r="L116" s="60"/>
      <x:c r="M116" s="60"/>
      <x:c r="N116" s="60"/>
      <x:c r="O116" s="60"/>
      <x:c r="P116" s="26"/>
      <x:c r="Q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60"/>
      <x:c r="K117" s="60"/>
      <x:c r="L117" s="60"/>
      <x:c r="M117" s="60"/>
      <x:c r="N117" s="60"/>
      <x:c r="O117" s="60"/>
      <x:c r="P117" s="26"/>
      <x:c r="Q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60"/>
      <x:c r="K118" s="60"/>
      <x:c r="L118" s="60"/>
      <x:c r="M118" s="60"/>
      <x:c r="N118" s="60"/>
      <x:c r="O118" s="60"/>
      <x:c r="P118" s="26"/>
      <x:c r="Q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60"/>
      <x:c r="K119" s="60"/>
      <x:c r="L119" s="60"/>
      <x:c r="M119" s="60"/>
      <x:c r="N119" s="60"/>
      <x:c r="O119" s="60"/>
      <x:c r="P119" s="26"/>
      <x:c r="Q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60"/>
      <x:c r="K120" s="60"/>
      <x:c r="L120" s="60"/>
      <x:c r="M120" s="60"/>
      <x:c r="N120" s="60"/>
      <x:c r="O120" s="60"/>
      <x:c r="P120" s="26"/>
      <x:c r="Q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60"/>
      <x:c r="K121" s="60"/>
      <x:c r="L121" s="60"/>
      <x:c r="M121" s="60"/>
      <x:c r="N121" s="60"/>
      <x:c r="O121" s="60"/>
      <x:c r="P121" s="26"/>
      <x:c r="Q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60"/>
      <x:c r="K122" s="60"/>
      <x:c r="L122" s="60"/>
      <x:c r="M122" s="60"/>
      <x:c r="N122" s="60"/>
      <x:c r="O122" s="60"/>
      <x:c r="P122" s="26"/>
      <x:c r="Q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60"/>
      <x:c r="K123" s="60"/>
      <x:c r="L123" s="60"/>
      <x:c r="M123" s="60"/>
      <x:c r="N123" s="60"/>
      <x:c r="O123" s="60"/>
      <x:c r="P123" s="26"/>
      <x:c r="Q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60"/>
      <x:c r="K124" s="60"/>
      <x:c r="L124" s="60"/>
      <x:c r="M124" s="60"/>
      <x:c r="N124" s="60"/>
      <x:c r="O124" s="60"/>
      <x:c r="P124" s="26"/>
      <x:c r="Q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60"/>
      <x:c r="K125" s="60"/>
      <x:c r="L125" s="60"/>
      <x:c r="M125" s="60"/>
      <x:c r="N125" s="60"/>
      <x:c r="O125" s="60"/>
      <x:c r="P125" s="26"/>
      <x:c r="Q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60"/>
      <x:c r="K126" s="60"/>
      <x:c r="L126" s="60"/>
      <x:c r="M126" s="60"/>
      <x:c r="N126" s="60"/>
      <x:c r="O126" s="60"/>
      <x:c r="P126" s="26"/>
      <x:c r="Q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60"/>
      <x:c r="K127" s="60"/>
      <x:c r="L127" s="60"/>
      <x:c r="M127" s="60"/>
      <x:c r="N127" s="60"/>
      <x:c r="O127" s="60"/>
      <x:c r="P127" s="26"/>
      <x:c r="Q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60"/>
      <x:c r="K128" s="60"/>
      <x:c r="L128" s="60"/>
      <x:c r="M128" s="60"/>
      <x:c r="N128" s="60"/>
      <x:c r="O128" s="60"/>
      <x:c r="P128" s="26"/>
      <x:c r="Q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60"/>
      <x:c r="K129" s="60"/>
      <x:c r="L129" s="60"/>
      <x:c r="M129" s="60"/>
      <x:c r="N129" s="60"/>
      <x:c r="O129" s="60"/>
      <x:c r="P129" s="26"/>
      <x:c r="Q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60"/>
      <x:c r="K130" s="60"/>
      <x:c r="L130" s="60"/>
      <x:c r="M130" s="60"/>
      <x:c r="N130" s="60"/>
      <x:c r="O130" s="60"/>
      <x:c r="P130" s="26"/>
      <x:c r="Q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60"/>
      <x:c r="K131" s="60"/>
      <x:c r="L131" s="60"/>
      <x:c r="M131" s="60"/>
      <x:c r="N131" s="60"/>
      <x:c r="O131" s="60"/>
      <x:c r="P131" s="26"/>
      <x:c r="Q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60"/>
      <x:c r="K132" s="60"/>
      <x:c r="L132" s="60"/>
      <x:c r="M132" s="60"/>
      <x:c r="N132" s="60"/>
      <x:c r="O132" s="60"/>
      <x:c r="P132" s="26"/>
      <x:c r="Q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60"/>
      <x:c r="K133" s="60"/>
      <x:c r="L133" s="60"/>
      <x:c r="M133" s="60"/>
      <x:c r="N133" s="60"/>
      <x:c r="O133" s="60"/>
      <x:c r="P133" s="26"/>
      <x:c r="Q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60"/>
      <x:c r="K134" s="60"/>
      <x:c r="L134" s="60"/>
      <x:c r="M134" s="60"/>
      <x:c r="N134" s="60"/>
      <x:c r="O134" s="60"/>
      <x:c r="P134" s="26"/>
      <x:c r="Q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60"/>
      <x:c r="K135" s="60"/>
      <x:c r="L135" s="60"/>
      <x:c r="M135" s="60"/>
      <x:c r="N135" s="60"/>
      <x:c r="O135" s="60"/>
      <x:c r="P135" s="26"/>
      <x:c r="Q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60"/>
      <x:c r="K136" s="60"/>
      <x:c r="L136" s="60"/>
      <x:c r="M136" s="60"/>
      <x:c r="N136" s="60"/>
      <x:c r="O136" s="60"/>
      <x:c r="P136" s="26"/>
      <x:c r="Q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60"/>
      <x:c r="K137" s="60"/>
      <x:c r="L137" s="60"/>
      <x:c r="M137" s="60"/>
      <x:c r="N137" s="60"/>
      <x:c r="O137" s="60"/>
      <x:c r="P137" s="26"/>
      <x:c r="Q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60"/>
      <x:c r="K138" s="60"/>
      <x:c r="L138" s="60"/>
      <x:c r="M138" s="60"/>
      <x:c r="N138" s="60"/>
      <x:c r="O138" s="60"/>
      <x:c r="P138" s="26"/>
      <x:c r="Q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60"/>
      <x:c r="K139" s="60"/>
      <x:c r="L139" s="60"/>
      <x:c r="M139" s="60"/>
      <x:c r="N139" s="60"/>
      <x:c r="O139" s="60"/>
      <x:c r="P139" s="26"/>
      <x:c r="Q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60"/>
      <x:c r="K140" s="60"/>
      <x:c r="L140" s="60"/>
      <x:c r="M140" s="60"/>
      <x:c r="N140" s="60"/>
      <x:c r="O140" s="60"/>
      <x:c r="P140" s="26"/>
      <x:c r="Q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60"/>
      <x:c r="K141" s="60"/>
      <x:c r="L141" s="60"/>
      <x:c r="M141" s="60"/>
      <x:c r="N141" s="60"/>
      <x:c r="O141" s="60"/>
      <x:c r="P141" s="26"/>
      <x:c r="Q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60"/>
      <x:c r="K142" s="60"/>
      <x:c r="L142" s="60"/>
      <x:c r="M142" s="60"/>
      <x:c r="N142" s="60"/>
      <x:c r="O142" s="60"/>
      <x:c r="P142" s="26"/>
      <x:c r="Q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60"/>
      <x:c r="K143" s="60"/>
      <x:c r="L143" s="60"/>
      <x:c r="M143" s="60"/>
      <x:c r="N143" s="60"/>
      <x:c r="O143" s="60"/>
      <x:c r="P143" s="26"/>
      <x:c r="Q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60"/>
      <x:c r="K144" s="60"/>
      <x:c r="L144" s="60"/>
      <x:c r="M144" s="60"/>
      <x:c r="N144" s="60"/>
      <x:c r="O144" s="60"/>
      <x:c r="P144" s="26"/>
      <x:c r="Q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60"/>
      <x:c r="K145" s="60"/>
      <x:c r="L145" s="60"/>
      <x:c r="M145" s="60"/>
      <x:c r="N145" s="60"/>
      <x:c r="O145" s="60"/>
      <x:c r="P145" s="26"/>
      <x:c r="Q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60"/>
      <x:c r="K146" s="60"/>
      <x:c r="L146" s="60"/>
      <x:c r="M146" s="60"/>
      <x:c r="N146" s="60"/>
      <x:c r="O146" s="60"/>
      <x:c r="P146" s="26"/>
      <x:c r="Q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60"/>
      <x:c r="K147" s="60"/>
      <x:c r="L147" s="60"/>
      <x:c r="M147" s="60"/>
      <x:c r="N147" s="60"/>
      <x:c r="O147" s="60"/>
      <x:c r="P147" s="26"/>
      <x:c r="Q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60"/>
      <x:c r="K148" s="60"/>
      <x:c r="L148" s="60"/>
      <x:c r="M148" s="60"/>
      <x:c r="N148" s="60"/>
      <x:c r="O148" s="60"/>
      <x:c r="P148" s="26"/>
      <x:c r="Q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60"/>
      <x:c r="K149" s="60"/>
      <x:c r="L149" s="60"/>
      <x:c r="M149" s="60"/>
      <x:c r="N149" s="60"/>
      <x:c r="O149" s="60"/>
      <x:c r="P149" s="26"/>
      <x:c r="Q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60"/>
      <x:c r="K150" s="60"/>
      <x:c r="L150" s="60"/>
      <x:c r="M150" s="60"/>
      <x:c r="N150" s="60"/>
      <x:c r="O150" s="60"/>
      <x:c r="P150" s="26"/>
      <x:c r="Q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60"/>
      <x:c r="K151" s="60"/>
      <x:c r="L151" s="60"/>
      <x:c r="M151" s="60"/>
      <x:c r="N151" s="60"/>
      <x:c r="O151" s="60"/>
      <x:c r="P151" s="26"/>
      <x:c r="Q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60"/>
      <x:c r="K152" s="60"/>
      <x:c r="L152" s="60"/>
      <x:c r="M152" s="60"/>
      <x:c r="N152" s="60"/>
      <x:c r="O152" s="60"/>
      <x:c r="P152" s="26"/>
      <x:c r="Q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60"/>
      <x:c r="K153" s="60"/>
      <x:c r="L153" s="60"/>
      <x:c r="M153" s="60"/>
      <x:c r="N153" s="60"/>
      <x:c r="O153" s="60"/>
      <x:c r="P153" s="26"/>
      <x:c r="Q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60"/>
      <x:c r="K154" s="60"/>
      <x:c r="L154" s="60"/>
      <x:c r="M154" s="60"/>
      <x:c r="N154" s="60"/>
      <x:c r="O154" s="60"/>
      <x:c r="P154" s="26"/>
      <x:c r="Q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60"/>
      <x:c r="K155" s="60"/>
      <x:c r="L155" s="60"/>
      <x:c r="M155" s="60"/>
      <x:c r="N155" s="60"/>
      <x:c r="O155" s="60"/>
      <x:c r="P155" s="26"/>
      <x:c r="Q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60"/>
      <x:c r="K156" s="60"/>
      <x:c r="L156" s="60"/>
      <x:c r="M156" s="60"/>
      <x:c r="N156" s="60"/>
      <x:c r="O156" s="60"/>
      <x:c r="P156" s="26"/>
      <x:c r="Q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60"/>
      <x:c r="K157" s="60"/>
      <x:c r="L157" s="60"/>
      <x:c r="M157" s="60"/>
      <x:c r="N157" s="60"/>
      <x:c r="O157" s="60"/>
      <x:c r="P157" s="26"/>
      <x:c r="Q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60"/>
      <x:c r="K158" s="60"/>
      <x:c r="L158" s="60"/>
      <x:c r="M158" s="60"/>
      <x:c r="N158" s="60"/>
      <x:c r="O158" s="60"/>
      <x:c r="P158" s="26"/>
      <x:c r="Q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60"/>
      <x:c r="K159" s="60"/>
      <x:c r="L159" s="60"/>
      <x:c r="M159" s="60"/>
      <x:c r="N159" s="60"/>
      <x:c r="O159" s="60"/>
      <x:c r="P159" s="26"/>
      <x:c r="Q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60"/>
      <x:c r="K160" s="60"/>
      <x:c r="L160" s="60"/>
      <x:c r="M160" s="60"/>
      <x:c r="N160" s="60"/>
      <x:c r="O160" s="60"/>
      <x:c r="P160" s="26"/>
      <x:c r="Q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60"/>
      <x:c r="K161" s="60"/>
      <x:c r="L161" s="60"/>
      <x:c r="M161" s="60"/>
      <x:c r="N161" s="60"/>
      <x:c r="O161" s="60"/>
      <x:c r="P161" s="26"/>
      <x:c r="Q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60"/>
      <x:c r="K162" s="60"/>
      <x:c r="L162" s="60"/>
      <x:c r="M162" s="60"/>
      <x:c r="N162" s="60"/>
      <x:c r="O162" s="60"/>
      <x:c r="P162" s="26"/>
      <x:c r="Q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60"/>
      <x:c r="K163" s="60"/>
      <x:c r="L163" s="60"/>
      <x:c r="M163" s="60"/>
      <x:c r="N163" s="60"/>
      <x:c r="O163" s="60"/>
      <x:c r="P163" s="26"/>
      <x:c r="Q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60"/>
      <x:c r="K164" s="60"/>
      <x:c r="L164" s="60"/>
      <x:c r="M164" s="60"/>
      <x:c r="N164" s="60"/>
      <x:c r="O164" s="60"/>
      <x:c r="P164" s="26"/>
      <x:c r="Q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60"/>
      <x:c r="K165" s="60"/>
      <x:c r="L165" s="60"/>
      <x:c r="M165" s="60"/>
      <x:c r="N165" s="60"/>
      <x:c r="O165" s="60"/>
      <x:c r="P165" s="26"/>
      <x:c r="Q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60"/>
      <x:c r="K166" s="60"/>
      <x:c r="L166" s="60"/>
      <x:c r="M166" s="60"/>
      <x:c r="N166" s="60"/>
      <x:c r="O166" s="60"/>
      <x:c r="P166" s="26"/>
      <x:c r="Q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60"/>
      <x:c r="K167" s="60"/>
      <x:c r="L167" s="60"/>
      <x:c r="M167" s="60"/>
      <x:c r="N167" s="60"/>
      <x:c r="O167" s="60"/>
      <x:c r="P167" s="26"/>
      <x:c r="Q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60"/>
      <x:c r="K168" s="60"/>
      <x:c r="L168" s="60"/>
      <x:c r="M168" s="60"/>
      <x:c r="N168" s="60"/>
      <x:c r="O168" s="60"/>
      <x:c r="P168" s="26"/>
      <x:c r="Q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60"/>
      <x:c r="K169" s="60"/>
      <x:c r="L169" s="60"/>
      <x:c r="M169" s="60"/>
      <x:c r="N169" s="60"/>
      <x:c r="O169" s="60"/>
      <x:c r="P169" s="26"/>
      <x:c r="Q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60"/>
      <x:c r="K170" s="60"/>
      <x:c r="L170" s="60"/>
      <x:c r="M170" s="60"/>
      <x:c r="N170" s="60"/>
      <x:c r="O170" s="60"/>
      <x:c r="P170" s="26"/>
      <x:c r="Q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60"/>
      <x:c r="K171" s="60"/>
      <x:c r="L171" s="60"/>
      <x:c r="M171" s="60"/>
      <x:c r="N171" s="60"/>
      <x:c r="O171" s="60"/>
      <x:c r="P171" s="26"/>
      <x:c r="Q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60"/>
      <x:c r="K172" s="60"/>
      <x:c r="L172" s="60"/>
      <x:c r="M172" s="60"/>
      <x:c r="N172" s="60"/>
      <x:c r="O172" s="60"/>
      <x:c r="P172" s="26"/>
      <x:c r="Q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60"/>
      <x:c r="K173" s="60"/>
      <x:c r="L173" s="60"/>
      <x:c r="M173" s="60"/>
      <x:c r="N173" s="60"/>
      <x:c r="O173" s="60"/>
      <x:c r="P173" s="26"/>
      <x:c r="Q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60"/>
      <x:c r="K174" s="60"/>
      <x:c r="L174" s="60"/>
      <x:c r="M174" s="60"/>
      <x:c r="N174" s="60"/>
      <x:c r="O174" s="60"/>
      <x:c r="P174" s="26"/>
      <x:c r="Q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60"/>
      <x:c r="K175" s="60"/>
      <x:c r="L175" s="60"/>
      <x:c r="M175" s="60"/>
      <x:c r="N175" s="60"/>
      <x:c r="O175" s="60"/>
      <x:c r="P175" s="26"/>
      <x:c r="Q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60"/>
      <x:c r="K176" s="60"/>
      <x:c r="L176" s="60"/>
      <x:c r="M176" s="60"/>
      <x:c r="N176" s="60"/>
      <x:c r="O176" s="60"/>
      <x:c r="P176" s="26"/>
      <x:c r="Q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60"/>
      <x:c r="K177" s="60"/>
      <x:c r="L177" s="60"/>
      <x:c r="M177" s="60"/>
      <x:c r="N177" s="60"/>
      <x:c r="O177" s="60"/>
      <x:c r="P177" s="26"/>
      <x:c r="Q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60"/>
      <x:c r="K178" s="60"/>
      <x:c r="L178" s="60"/>
      <x:c r="M178" s="60"/>
      <x:c r="N178" s="60"/>
      <x:c r="O178" s="60"/>
      <x:c r="P178" s="26"/>
      <x:c r="Q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60"/>
      <x:c r="K179" s="60"/>
      <x:c r="L179" s="60"/>
      <x:c r="M179" s="60"/>
      <x:c r="N179" s="60"/>
      <x:c r="O179" s="60"/>
      <x:c r="P179" s="26"/>
      <x:c r="Q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60"/>
      <x:c r="K180" s="60"/>
      <x:c r="L180" s="60"/>
      <x:c r="M180" s="60"/>
      <x:c r="N180" s="60"/>
      <x:c r="O180" s="60"/>
      <x:c r="P180" s="26"/>
      <x:c r="Q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60"/>
      <x:c r="K181" s="60"/>
      <x:c r="L181" s="60"/>
      <x:c r="M181" s="60"/>
      <x:c r="N181" s="60"/>
      <x:c r="O181" s="60"/>
      <x:c r="P181" s="26"/>
      <x:c r="Q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60"/>
      <x:c r="K182" s="60"/>
      <x:c r="L182" s="60"/>
      <x:c r="M182" s="60"/>
      <x:c r="N182" s="60"/>
      <x:c r="O182" s="60"/>
      <x:c r="P182" s="26"/>
      <x:c r="Q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60"/>
      <x:c r="K183" s="60"/>
      <x:c r="L183" s="60"/>
      <x:c r="M183" s="60"/>
      <x:c r="N183" s="60"/>
      <x:c r="O183" s="60"/>
      <x:c r="P183" s="26"/>
      <x:c r="Q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60"/>
      <x:c r="K184" s="60"/>
      <x:c r="L184" s="60"/>
      <x:c r="M184" s="60"/>
      <x:c r="N184" s="60"/>
      <x:c r="O184" s="60"/>
      <x:c r="P184" s="26"/>
      <x:c r="Q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60"/>
      <x:c r="K185" s="60"/>
      <x:c r="L185" s="60"/>
      <x:c r="M185" s="60"/>
      <x:c r="N185" s="60"/>
      <x:c r="O185" s="60"/>
      <x:c r="P185" s="26"/>
      <x:c r="Q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60"/>
      <x:c r="K186" s="60"/>
      <x:c r="L186" s="60"/>
      <x:c r="M186" s="60"/>
      <x:c r="N186" s="60"/>
      <x:c r="O186" s="60"/>
      <x:c r="P186" s="26"/>
      <x:c r="Q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60"/>
      <x:c r="K187" s="60"/>
      <x:c r="L187" s="60"/>
      <x:c r="M187" s="60"/>
      <x:c r="N187" s="60"/>
      <x:c r="O187" s="60"/>
      <x:c r="P187" s="26"/>
      <x:c r="Q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60"/>
      <x:c r="K188" s="60"/>
      <x:c r="L188" s="60"/>
      <x:c r="M188" s="60"/>
      <x:c r="N188" s="60"/>
      <x:c r="O188" s="60"/>
      <x:c r="P188" s="26"/>
      <x:c r="Q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60"/>
      <x:c r="K189" s="60"/>
      <x:c r="L189" s="60"/>
      <x:c r="M189" s="60"/>
      <x:c r="N189" s="60"/>
      <x:c r="O189" s="60"/>
      <x:c r="P189" s="26"/>
      <x:c r="Q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60"/>
      <x:c r="K190" s="60"/>
      <x:c r="L190" s="60"/>
      <x:c r="M190" s="60"/>
      <x:c r="N190" s="60"/>
      <x:c r="O190" s="60"/>
      <x:c r="P190" s="26"/>
      <x:c r="Q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60"/>
      <x:c r="K191" s="60"/>
      <x:c r="L191" s="60"/>
      <x:c r="M191" s="60"/>
      <x:c r="N191" s="60"/>
      <x:c r="O191" s="60"/>
      <x:c r="P191" s="26"/>
      <x:c r="Q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60"/>
      <x:c r="K192" s="60"/>
      <x:c r="L192" s="60"/>
      <x:c r="M192" s="60"/>
      <x:c r="N192" s="60"/>
      <x:c r="O192" s="60"/>
      <x:c r="P192" s="26"/>
      <x:c r="Q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60"/>
      <x:c r="K193" s="60"/>
      <x:c r="L193" s="60"/>
      <x:c r="M193" s="60"/>
      <x:c r="N193" s="60"/>
      <x:c r="O193" s="60"/>
      <x:c r="P193" s="26"/>
      <x:c r="Q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60"/>
      <x:c r="K194" s="60"/>
      <x:c r="L194" s="60"/>
      <x:c r="M194" s="60"/>
      <x:c r="N194" s="60"/>
      <x:c r="O194" s="60"/>
      <x:c r="P194" s="26"/>
      <x:c r="Q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60"/>
      <x:c r="K195" s="60"/>
      <x:c r="L195" s="60"/>
      <x:c r="M195" s="60"/>
      <x:c r="N195" s="60"/>
      <x:c r="O195" s="60"/>
      <x:c r="P195" s="26"/>
      <x:c r="Q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60"/>
      <x:c r="K196" s="60"/>
      <x:c r="L196" s="60"/>
      <x:c r="M196" s="60"/>
      <x:c r="N196" s="60"/>
      <x:c r="O196" s="60"/>
      <x:c r="P196" s="26"/>
      <x:c r="Q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60"/>
      <x:c r="K197" s="60"/>
      <x:c r="L197" s="60"/>
      <x:c r="M197" s="60"/>
      <x:c r="N197" s="60"/>
      <x:c r="O197" s="60"/>
      <x:c r="P197" s="26"/>
      <x:c r="Q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60"/>
      <x:c r="K198" s="60"/>
      <x:c r="L198" s="60"/>
      <x:c r="M198" s="60"/>
      <x:c r="N198" s="60"/>
      <x:c r="O198" s="60"/>
      <x:c r="P198" s="26"/>
      <x:c r="Q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60"/>
      <x:c r="K199" s="60"/>
      <x:c r="L199" s="60"/>
      <x:c r="M199" s="60"/>
      <x:c r="N199" s="60"/>
      <x:c r="O199" s="60"/>
      <x:c r="P199" s="26"/>
      <x:c r="Q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60"/>
      <x:c r="K200" s="60"/>
      <x:c r="L200" s="60"/>
      <x:c r="M200" s="60"/>
      <x:c r="N200" s="60"/>
      <x:c r="O200" s="60"/>
      <x:c r="P200" s="26"/>
      <x:c r="Q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60"/>
      <x:c r="K201" s="60"/>
      <x:c r="L201" s="60"/>
      <x:c r="M201" s="60"/>
      <x:c r="N201" s="60"/>
      <x:c r="O201" s="60"/>
      <x:c r="P201" s="26"/>
      <x:c r="Q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60"/>
      <x:c r="K202" s="60"/>
      <x:c r="L202" s="60"/>
      <x:c r="M202" s="60"/>
      <x:c r="N202" s="60"/>
      <x:c r="O202" s="60"/>
      <x:c r="P202" s="26"/>
      <x:c r="Q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60"/>
      <x:c r="K203" s="60"/>
      <x:c r="L203" s="60"/>
      <x:c r="M203" s="60"/>
      <x:c r="N203" s="60"/>
      <x:c r="O203" s="60"/>
      <x:c r="P203" s="26"/>
      <x:c r="Q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60"/>
      <x:c r="K204" s="60"/>
      <x:c r="L204" s="60"/>
      <x:c r="M204" s="60"/>
      <x:c r="N204" s="60"/>
      <x:c r="O204" s="60"/>
      <x:c r="P204" s="26"/>
      <x:c r="Q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60"/>
      <x:c r="K205" s="60"/>
      <x:c r="L205" s="60"/>
      <x:c r="M205" s="60"/>
      <x:c r="N205" s="60"/>
      <x:c r="O205" s="60"/>
      <x:c r="P205" s="26"/>
      <x:c r="Q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60"/>
      <x:c r="K206" s="60"/>
      <x:c r="L206" s="60"/>
      <x:c r="M206" s="60"/>
      <x:c r="N206" s="60"/>
      <x:c r="O206" s="60"/>
      <x:c r="P206" s="26"/>
      <x:c r="Q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60"/>
      <x:c r="K207" s="60"/>
      <x:c r="L207" s="60"/>
      <x:c r="M207" s="60"/>
      <x:c r="N207" s="60"/>
      <x:c r="O207" s="60"/>
      <x:c r="P207" s="26"/>
      <x:c r="Q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60"/>
      <x:c r="K208" s="60"/>
      <x:c r="L208" s="60"/>
      <x:c r="M208" s="60"/>
      <x:c r="N208" s="60"/>
      <x:c r="O208" s="60"/>
      <x:c r="P208" s="26"/>
      <x:c r="Q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60"/>
      <x:c r="K209" s="60"/>
      <x:c r="L209" s="60"/>
      <x:c r="M209" s="60"/>
      <x:c r="N209" s="60"/>
      <x:c r="O209" s="60"/>
      <x:c r="P209" s="26"/>
      <x:c r="Q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60"/>
      <x:c r="K210" s="60"/>
      <x:c r="L210" s="60"/>
      <x:c r="M210" s="60"/>
      <x:c r="N210" s="60"/>
      <x:c r="O210" s="60"/>
      <x:c r="P210" s="26"/>
      <x:c r="Q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60"/>
      <x:c r="K211" s="60"/>
      <x:c r="L211" s="60"/>
      <x:c r="M211" s="60"/>
      <x:c r="N211" s="60"/>
      <x:c r="O211" s="60"/>
      <x:c r="P211" s="26"/>
      <x:c r="Q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60"/>
      <x:c r="K212" s="60"/>
      <x:c r="L212" s="60"/>
      <x:c r="M212" s="60"/>
      <x:c r="N212" s="60"/>
      <x:c r="O212" s="60"/>
      <x:c r="P212" s="26"/>
      <x:c r="Q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60"/>
      <x:c r="K213" s="60"/>
      <x:c r="L213" s="60"/>
      <x:c r="M213" s="60"/>
      <x:c r="N213" s="60"/>
      <x:c r="O213" s="60"/>
      <x:c r="P213" s="26"/>
      <x:c r="Q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60"/>
      <x:c r="K214" s="60"/>
      <x:c r="L214" s="60"/>
      <x:c r="M214" s="60"/>
      <x:c r="N214" s="60"/>
      <x:c r="O214" s="60"/>
      <x:c r="P214" s="26"/>
      <x:c r="Q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60"/>
      <x:c r="K215" s="60"/>
      <x:c r="L215" s="60"/>
      <x:c r="M215" s="60"/>
      <x:c r="N215" s="60"/>
      <x:c r="O215" s="60"/>
      <x:c r="P215" s="26"/>
      <x:c r="Q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60"/>
      <x:c r="K216" s="60"/>
      <x:c r="L216" s="60"/>
      <x:c r="M216" s="60"/>
      <x:c r="N216" s="60"/>
      <x:c r="O216" s="60"/>
      <x:c r="P216" s="26"/>
      <x:c r="Q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60"/>
      <x:c r="K217" s="60"/>
      <x:c r="L217" s="60"/>
      <x:c r="M217" s="60"/>
      <x:c r="N217" s="60"/>
      <x:c r="O217" s="60"/>
      <x:c r="P217" s="26"/>
      <x:c r="Q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60"/>
      <x:c r="K218" s="60"/>
      <x:c r="L218" s="60"/>
      <x:c r="M218" s="60"/>
      <x:c r="N218" s="60"/>
      <x:c r="O218" s="60"/>
      <x:c r="P218" s="26"/>
      <x:c r="Q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60"/>
      <x:c r="K219" s="60"/>
      <x:c r="L219" s="60"/>
      <x:c r="M219" s="60"/>
      <x:c r="N219" s="60"/>
      <x:c r="O219" s="60"/>
      <x:c r="P219" s="26"/>
      <x:c r="Q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60"/>
      <x:c r="K220" s="60"/>
      <x:c r="L220" s="60"/>
      <x:c r="M220" s="60"/>
      <x:c r="N220" s="60"/>
      <x:c r="O220" s="60"/>
      <x:c r="P220" s="26"/>
      <x:c r="Q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60"/>
      <x:c r="K221" s="60"/>
      <x:c r="L221" s="60"/>
      <x:c r="M221" s="60"/>
      <x:c r="N221" s="60"/>
      <x:c r="O221" s="60"/>
      <x:c r="P221" s="26"/>
      <x:c r="Q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60"/>
      <x:c r="K222" s="60"/>
      <x:c r="L222" s="60"/>
      <x:c r="M222" s="60"/>
      <x:c r="N222" s="60"/>
      <x:c r="O222" s="60"/>
      <x:c r="P222" s="26"/>
      <x:c r="Q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60"/>
      <x:c r="K223" s="60"/>
      <x:c r="L223" s="60"/>
      <x:c r="M223" s="60"/>
      <x:c r="N223" s="60"/>
      <x:c r="O223" s="60"/>
      <x:c r="P223" s="26"/>
      <x:c r="Q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60"/>
      <x:c r="K224" s="60"/>
      <x:c r="L224" s="60"/>
      <x:c r="M224" s="60"/>
      <x:c r="N224" s="60"/>
      <x:c r="O224" s="60"/>
      <x:c r="P224" s="26"/>
      <x:c r="Q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60"/>
      <x:c r="K225" s="60"/>
      <x:c r="L225" s="60"/>
      <x:c r="M225" s="60"/>
      <x:c r="N225" s="60"/>
      <x:c r="O225" s="60"/>
      <x:c r="P225" s="26"/>
      <x:c r="Q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60"/>
      <x:c r="K226" s="60"/>
      <x:c r="L226" s="60"/>
      <x:c r="M226" s="60"/>
      <x:c r="N226" s="60"/>
      <x:c r="O226" s="60"/>
      <x:c r="P226" s="26"/>
      <x:c r="Q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60"/>
      <x:c r="K227" s="60"/>
      <x:c r="L227" s="60"/>
      <x:c r="M227" s="60"/>
      <x:c r="N227" s="60"/>
      <x:c r="O227" s="60"/>
      <x:c r="P227" s="26"/>
      <x:c r="Q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60"/>
      <x:c r="K228" s="60"/>
      <x:c r="L228" s="60"/>
      <x:c r="M228" s="60"/>
      <x:c r="N228" s="60"/>
      <x:c r="O228" s="60"/>
      <x:c r="P228" s="26"/>
      <x:c r="Q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60"/>
      <x:c r="K229" s="60"/>
      <x:c r="L229" s="60"/>
      <x:c r="M229" s="60"/>
      <x:c r="N229" s="60"/>
      <x:c r="O229" s="60"/>
      <x:c r="P229" s="26"/>
      <x:c r="Q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60"/>
      <x:c r="K230" s="60"/>
      <x:c r="L230" s="60"/>
      <x:c r="M230" s="60"/>
      <x:c r="N230" s="60"/>
      <x:c r="O230" s="60"/>
      <x:c r="P230" s="26"/>
      <x:c r="Q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60"/>
      <x:c r="K231" s="60"/>
      <x:c r="L231" s="60"/>
      <x:c r="M231" s="60"/>
      <x:c r="N231" s="60"/>
      <x:c r="O231" s="60"/>
      <x:c r="P231" s="26"/>
      <x:c r="Q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60"/>
      <x:c r="K232" s="60"/>
      <x:c r="L232" s="60"/>
      <x:c r="M232" s="60"/>
      <x:c r="N232" s="60"/>
      <x:c r="O232" s="60"/>
      <x:c r="P232" s="26"/>
      <x:c r="Q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60"/>
      <x:c r="K233" s="60"/>
      <x:c r="L233" s="60"/>
      <x:c r="M233" s="60"/>
      <x:c r="N233" s="60"/>
      <x:c r="O233" s="60"/>
      <x:c r="P233" s="26"/>
      <x:c r="Q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60"/>
      <x:c r="K234" s="60"/>
      <x:c r="L234" s="60"/>
      <x:c r="M234" s="60"/>
      <x:c r="N234" s="60"/>
      <x:c r="O234" s="60"/>
      <x:c r="P234" s="26"/>
      <x:c r="Q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60"/>
      <x:c r="K235" s="60"/>
      <x:c r="L235" s="60"/>
      <x:c r="M235" s="60"/>
      <x:c r="N235" s="60"/>
      <x:c r="O235" s="60"/>
      <x:c r="P235" s="26"/>
      <x:c r="Q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60"/>
      <x:c r="K236" s="60"/>
      <x:c r="L236" s="60"/>
      <x:c r="M236" s="60"/>
      <x:c r="N236" s="60"/>
      <x:c r="O236" s="60"/>
      <x:c r="P236" s="26"/>
      <x:c r="Q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60"/>
      <x:c r="K237" s="60"/>
      <x:c r="L237" s="60"/>
      <x:c r="M237" s="60"/>
      <x:c r="N237" s="60"/>
      <x:c r="O237" s="60"/>
      <x:c r="P237" s="26"/>
      <x:c r="Q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60"/>
      <x:c r="K238" s="60"/>
      <x:c r="L238" s="60"/>
      <x:c r="M238" s="60"/>
      <x:c r="N238" s="60"/>
      <x:c r="O238" s="60"/>
      <x:c r="P238" s="26"/>
      <x:c r="Q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60"/>
      <x:c r="K239" s="60"/>
      <x:c r="L239" s="60"/>
      <x:c r="M239" s="60"/>
      <x:c r="N239" s="60"/>
      <x:c r="O239" s="60"/>
      <x:c r="P239" s="26"/>
      <x:c r="Q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60"/>
      <x:c r="K240" s="60"/>
      <x:c r="L240" s="60"/>
      <x:c r="M240" s="60"/>
      <x:c r="N240" s="60"/>
      <x:c r="O240" s="60"/>
      <x:c r="P240" s="26"/>
      <x:c r="Q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60"/>
      <x:c r="K241" s="60"/>
      <x:c r="L241" s="60"/>
      <x:c r="M241" s="60"/>
      <x:c r="N241" s="60"/>
      <x:c r="O241" s="60"/>
      <x:c r="P241" s="26"/>
      <x:c r="Q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60"/>
      <x:c r="K242" s="60"/>
      <x:c r="L242" s="60"/>
      <x:c r="M242" s="60"/>
      <x:c r="N242" s="60"/>
      <x:c r="O242" s="60"/>
      <x:c r="P242" s="26"/>
      <x:c r="Q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60"/>
      <x:c r="K243" s="60"/>
      <x:c r="L243" s="60"/>
      <x:c r="M243" s="60"/>
      <x:c r="N243" s="60"/>
      <x:c r="O243" s="60"/>
      <x:c r="P243" s="26"/>
      <x:c r="Q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60"/>
      <x:c r="K244" s="60"/>
      <x:c r="L244" s="60"/>
      <x:c r="M244" s="60"/>
      <x:c r="N244" s="60"/>
      <x:c r="O244" s="60"/>
      <x:c r="P244" s="26"/>
      <x:c r="Q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60"/>
      <x:c r="K245" s="60"/>
      <x:c r="L245" s="60"/>
      <x:c r="M245" s="60"/>
      <x:c r="N245" s="60"/>
      <x:c r="O245" s="60"/>
      <x:c r="P245" s="26"/>
      <x:c r="Q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60"/>
      <x:c r="K246" s="60"/>
      <x:c r="L246" s="60"/>
      <x:c r="M246" s="60"/>
      <x:c r="N246" s="60"/>
      <x:c r="O246" s="60"/>
      <x:c r="P246" s="26"/>
      <x:c r="Q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60"/>
      <x:c r="K247" s="60"/>
      <x:c r="L247" s="60"/>
      <x:c r="M247" s="60"/>
      <x:c r="N247" s="60"/>
      <x:c r="O247" s="60"/>
      <x:c r="P247" s="26"/>
      <x:c r="Q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60"/>
      <x:c r="K248" s="60"/>
      <x:c r="L248" s="60"/>
      <x:c r="M248" s="60"/>
      <x:c r="N248" s="60"/>
      <x:c r="O248" s="60"/>
      <x:c r="P248" s="26"/>
      <x:c r="Q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60"/>
      <x:c r="K249" s="60"/>
      <x:c r="L249" s="60"/>
      <x:c r="M249" s="60"/>
      <x:c r="N249" s="60"/>
      <x:c r="O249" s="60"/>
      <x:c r="P249" s="26"/>
      <x:c r="Q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60"/>
      <x:c r="K250" s="60"/>
      <x:c r="L250" s="60"/>
      <x:c r="M250" s="60"/>
      <x:c r="N250" s="60"/>
      <x:c r="O250" s="60"/>
      <x:c r="P250" s="26"/>
      <x:c r="Q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60"/>
      <x:c r="K251" s="60"/>
      <x:c r="L251" s="60"/>
      <x:c r="M251" s="60"/>
      <x:c r="N251" s="60"/>
      <x:c r="O251" s="60"/>
      <x:c r="P251" s="26"/>
      <x:c r="Q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60"/>
      <x:c r="K252" s="60"/>
      <x:c r="L252" s="60"/>
      <x:c r="M252" s="60"/>
      <x:c r="N252" s="60"/>
      <x:c r="O252" s="60"/>
      <x:c r="P252" s="26"/>
      <x:c r="Q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60"/>
      <x:c r="K253" s="60"/>
      <x:c r="L253" s="60"/>
      <x:c r="M253" s="60"/>
      <x:c r="N253" s="60"/>
      <x:c r="O253" s="60"/>
      <x:c r="P253" s="26"/>
      <x:c r="Q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60"/>
      <x:c r="K254" s="60"/>
      <x:c r="L254" s="60"/>
      <x:c r="M254" s="60"/>
      <x:c r="N254" s="60"/>
      <x:c r="O254" s="60"/>
      <x:c r="P254" s="26"/>
      <x:c r="Q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60"/>
      <x:c r="K255" s="60"/>
      <x:c r="L255" s="60"/>
      <x:c r="M255" s="60"/>
      <x:c r="N255" s="60"/>
      <x:c r="O255" s="60"/>
      <x:c r="P255" s="26"/>
      <x:c r="Q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60"/>
      <x:c r="K256" s="60"/>
      <x:c r="L256" s="60"/>
      <x:c r="M256" s="60"/>
      <x:c r="N256" s="60"/>
      <x:c r="O256" s="60"/>
      <x:c r="P256" s="26"/>
      <x:c r="Q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60"/>
      <x:c r="K257" s="60"/>
      <x:c r="L257" s="60"/>
      <x:c r="M257" s="60"/>
      <x:c r="N257" s="60"/>
      <x:c r="O257" s="60"/>
      <x:c r="P257" s="26"/>
      <x:c r="Q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60"/>
      <x:c r="K258" s="60"/>
      <x:c r="L258" s="60"/>
      <x:c r="M258" s="60"/>
      <x:c r="N258" s="60"/>
      <x:c r="O258" s="60"/>
      <x:c r="P258" s="26"/>
      <x:c r="Q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60"/>
      <x:c r="K259" s="60"/>
      <x:c r="L259" s="60"/>
      <x:c r="M259" s="60"/>
      <x:c r="N259" s="60"/>
      <x:c r="O259" s="60"/>
      <x:c r="P259" s="26"/>
      <x:c r="Q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60"/>
      <x:c r="K260" s="60"/>
      <x:c r="L260" s="60"/>
      <x:c r="M260" s="60"/>
      <x:c r="N260" s="60"/>
      <x:c r="O260" s="60"/>
      <x:c r="P260" s="26"/>
      <x:c r="Q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60"/>
      <x:c r="K261" s="60"/>
      <x:c r="L261" s="60"/>
      <x:c r="M261" s="60"/>
      <x:c r="N261" s="60"/>
      <x:c r="O261" s="60"/>
      <x:c r="P261" s="26"/>
      <x:c r="Q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60"/>
      <x:c r="K262" s="60"/>
      <x:c r="L262" s="60"/>
      <x:c r="M262" s="60"/>
      <x:c r="N262" s="60"/>
      <x:c r="O262" s="60"/>
      <x:c r="P262" s="26"/>
      <x:c r="Q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60"/>
      <x:c r="K263" s="60"/>
      <x:c r="L263" s="60"/>
      <x:c r="M263" s="60"/>
      <x:c r="N263" s="60"/>
      <x:c r="O263" s="60"/>
      <x:c r="P263" s="26"/>
      <x:c r="Q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60"/>
      <x:c r="K264" s="60"/>
      <x:c r="L264" s="60"/>
      <x:c r="M264" s="60"/>
      <x:c r="N264" s="60"/>
      <x:c r="O264" s="60"/>
      <x:c r="P264" s="26"/>
      <x:c r="Q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60"/>
      <x:c r="K265" s="60"/>
      <x:c r="L265" s="60"/>
      <x:c r="M265" s="60"/>
      <x:c r="N265" s="60"/>
      <x:c r="O265" s="60"/>
      <x:c r="P265" s="26"/>
      <x:c r="Q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60"/>
      <x:c r="K266" s="60"/>
      <x:c r="L266" s="60"/>
      <x:c r="M266" s="60"/>
      <x:c r="N266" s="60"/>
      <x:c r="O266" s="60"/>
      <x:c r="P266" s="26"/>
      <x:c r="Q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60"/>
      <x:c r="K267" s="60"/>
      <x:c r="L267" s="60"/>
      <x:c r="M267" s="60"/>
      <x:c r="N267" s="60"/>
      <x:c r="O267" s="60"/>
      <x:c r="P267" s="26"/>
      <x:c r="Q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60"/>
      <x:c r="K268" s="60"/>
      <x:c r="L268" s="60"/>
      <x:c r="M268" s="60"/>
      <x:c r="N268" s="60"/>
      <x:c r="O268" s="60"/>
      <x:c r="P268" s="26"/>
      <x:c r="Q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60"/>
      <x:c r="K269" s="60"/>
      <x:c r="L269" s="60"/>
      <x:c r="M269" s="60"/>
      <x:c r="N269" s="60"/>
      <x:c r="O269" s="60"/>
      <x:c r="P269" s="26"/>
      <x:c r="Q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60"/>
      <x:c r="K270" s="60"/>
      <x:c r="L270" s="60"/>
      <x:c r="M270" s="60"/>
      <x:c r="N270" s="60"/>
      <x:c r="O270" s="60"/>
      <x:c r="P270" s="26"/>
      <x:c r="Q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60"/>
      <x:c r="K271" s="60"/>
      <x:c r="L271" s="60"/>
      <x:c r="M271" s="60"/>
      <x:c r="N271" s="60"/>
      <x:c r="O271" s="60"/>
      <x:c r="P271" s="26"/>
      <x:c r="Q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60"/>
      <x:c r="K272" s="60"/>
      <x:c r="L272" s="60"/>
      <x:c r="M272" s="60"/>
      <x:c r="N272" s="60"/>
      <x:c r="O272" s="60"/>
      <x:c r="P272" s="26"/>
      <x:c r="Q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60"/>
      <x:c r="K273" s="60"/>
      <x:c r="L273" s="60"/>
      <x:c r="M273" s="60"/>
      <x:c r="N273" s="60"/>
      <x:c r="O273" s="60"/>
      <x:c r="P273" s="26"/>
      <x:c r="Q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60"/>
      <x:c r="K274" s="60"/>
      <x:c r="L274" s="60"/>
      <x:c r="M274" s="60"/>
      <x:c r="N274" s="60"/>
      <x:c r="O274" s="60"/>
      <x:c r="P274" s="26"/>
      <x:c r="Q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60"/>
      <x:c r="K275" s="60"/>
      <x:c r="L275" s="60"/>
      <x:c r="M275" s="60"/>
      <x:c r="N275" s="60"/>
      <x:c r="O275" s="60"/>
      <x:c r="P275" s="26"/>
      <x:c r="Q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60"/>
      <x:c r="K276" s="60"/>
      <x:c r="L276" s="60"/>
      <x:c r="M276" s="60"/>
      <x:c r="N276" s="60"/>
      <x:c r="O276" s="60"/>
      <x:c r="P276" s="26"/>
      <x:c r="Q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60"/>
      <x:c r="K277" s="60"/>
      <x:c r="L277" s="60"/>
      <x:c r="M277" s="60"/>
      <x:c r="N277" s="60"/>
      <x:c r="O277" s="60"/>
      <x:c r="P277" s="26"/>
      <x:c r="Q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60"/>
      <x:c r="K278" s="60"/>
      <x:c r="L278" s="60"/>
      <x:c r="M278" s="60"/>
      <x:c r="N278" s="60"/>
      <x:c r="O278" s="60"/>
      <x:c r="P278" s="26"/>
      <x:c r="Q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60"/>
      <x:c r="K279" s="60"/>
      <x:c r="L279" s="60"/>
      <x:c r="M279" s="60"/>
      <x:c r="N279" s="60"/>
      <x:c r="O279" s="60"/>
      <x:c r="P279" s="26"/>
      <x:c r="Q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60"/>
      <x:c r="K280" s="60"/>
      <x:c r="L280" s="60"/>
      <x:c r="M280" s="60"/>
      <x:c r="N280" s="60"/>
      <x:c r="O280" s="60"/>
      <x:c r="P280" s="26"/>
      <x:c r="Q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60"/>
      <x:c r="K281" s="60"/>
      <x:c r="L281" s="60"/>
      <x:c r="M281" s="60"/>
      <x:c r="N281" s="60"/>
      <x:c r="O281" s="60"/>
      <x:c r="P281" s="26"/>
      <x:c r="Q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60"/>
      <x:c r="K282" s="60"/>
      <x:c r="L282" s="60"/>
      <x:c r="M282" s="60"/>
      <x:c r="N282" s="60"/>
      <x:c r="O282" s="60"/>
      <x:c r="P282" s="26"/>
      <x:c r="Q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60"/>
      <x:c r="K283" s="60"/>
      <x:c r="L283" s="60"/>
      <x:c r="M283" s="60"/>
      <x:c r="N283" s="60"/>
      <x:c r="O283" s="60"/>
      <x:c r="P283" s="26"/>
      <x:c r="Q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60"/>
      <x:c r="K284" s="60"/>
      <x:c r="L284" s="60"/>
      <x:c r="M284" s="60"/>
      <x:c r="N284" s="60"/>
      <x:c r="O284" s="60"/>
      <x:c r="P284" s="26"/>
      <x:c r="Q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60"/>
      <x:c r="K285" s="60"/>
      <x:c r="L285" s="60"/>
      <x:c r="M285" s="60"/>
      <x:c r="N285" s="60"/>
      <x:c r="O285" s="60"/>
      <x:c r="P285" s="26"/>
      <x:c r="Q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60"/>
      <x:c r="K286" s="60"/>
      <x:c r="L286" s="60"/>
      <x:c r="M286" s="60"/>
      <x:c r="N286" s="60"/>
      <x:c r="O286" s="60"/>
      <x:c r="P286" s="26"/>
      <x:c r="Q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60"/>
      <x:c r="K287" s="60"/>
      <x:c r="L287" s="60"/>
      <x:c r="M287" s="60"/>
      <x:c r="N287" s="60"/>
      <x:c r="O287" s="60"/>
      <x:c r="P287" s="26"/>
      <x:c r="Q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60"/>
      <x:c r="K288" s="60"/>
      <x:c r="L288" s="60"/>
      <x:c r="M288" s="60"/>
      <x:c r="N288" s="60"/>
      <x:c r="O288" s="60"/>
      <x:c r="P288" s="26"/>
      <x:c r="Q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60"/>
      <x:c r="K289" s="60"/>
      <x:c r="L289" s="60"/>
      <x:c r="M289" s="60"/>
      <x:c r="N289" s="60"/>
      <x:c r="O289" s="60"/>
      <x:c r="P289" s="26"/>
      <x:c r="Q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60"/>
      <x:c r="K290" s="60"/>
      <x:c r="L290" s="60"/>
      <x:c r="M290" s="60"/>
      <x:c r="N290" s="60"/>
      <x:c r="O290" s="60"/>
      <x:c r="P290" s="26"/>
      <x:c r="Q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60"/>
      <x:c r="K291" s="60"/>
      <x:c r="L291" s="60"/>
      <x:c r="M291" s="60"/>
      <x:c r="N291" s="60"/>
      <x:c r="O291" s="60"/>
      <x:c r="P291" s="26"/>
      <x:c r="Q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60"/>
      <x:c r="K292" s="60"/>
      <x:c r="L292" s="60"/>
      <x:c r="M292" s="60"/>
      <x:c r="N292" s="60"/>
      <x:c r="O292" s="60"/>
      <x:c r="P292" s="26"/>
      <x:c r="Q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60"/>
      <x:c r="K293" s="60"/>
      <x:c r="L293" s="60"/>
      <x:c r="M293" s="60"/>
      <x:c r="N293" s="60"/>
      <x:c r="O293" s="60"/>
      <x:c r="P293" s="26"/>
      <x:c r="Q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60"/>
      <x:c r="K294" s="60"/>
      <x:c r="L294" s="60"/>
      <x:c r="M294" s="60"/>
      <x:c r="N294" s="60"/>
      <x:c r="O294" s="60"/>
      <x:c r="P294" s="26"/>
      <x:c r="Q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60"/>
      <x:c r="K295" s="60"/>
      <x:c r="L295" s="60"/>
      <x:c r="M295" s="60"/>
      <x:c r="N295" s="60"/>
      <x:c r="O295" s="60"/>
      <x:c r="P295" s="26"/>
      <x:c r="Q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60"/>
      <x:c r="K296" s="60"/>
      <x:c r="L296" s="60"/>
      <x:c r="M296" s="60"/>
      <x:c r="N296" s="60"/>
      <x:c r="O296" s="60"/>
      <x:c r="P296" s="26"/>
      <x:c r="Q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60"/>
      <x:c r="K297" s="60"/>
      <x:c r="L297" s="60"/>
      <x:c r="M297" s="60"/>
      <x:c r="N297" s="60"/>
      <x:c r="O297" s="60"/>
      <x:c r="P297" s="26"/>
      <x:c r="Q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60"/>
      <x:c r="K298" s="60"/>
      <x:c r="L298" s="60"/>
      <x:c r="M298" s="60"/>
      <x:c r="N298" s="60"/>
      <x:c r="O298" s="60"/>
      <x:c r="P298" s="26"/>
      <x:c r="Q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60"/>
      <x:c r="K299" s="60"/>
      <x:c r="L299" s="60"/>
      <x:c r="M299" s="60"/>
      <x:c r="N299" s="60"/>
      <x:c r="O299" s="60"/>
      <x:c r="P299" s="26"/>
      <x:c r="Q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60"/>
      <x:c r="K300" s="60"/>
      <x:c r="L300" s="60"/>
      <x:c r="M300" s="60"/>
      <x:c r="N300" s="60"/>
      <x:c r="O300" s="60"/>
      <x:c r="P300" s="26"/>
      <x:c r="Q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60"/>
      <x:c r="K301" s="60"/>
      <x:c r="L301" s="60"/>
      <x:c r="M301" s="60"/>
      <x:c r="N301" s="60"/>
      <x:c r="O301" s="60"/>
      <x:c r="P301" s="26"/>
      <x:c r="Q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60"/>
      <x:c r="K302" s="60"/>
      <x:c r="L302" s="60"/>
      <x:c r="M302" s="60"/>
      <x:c r="N302" s="60"/>
      <x:c r="O302" s="60"/>
      <x:c r="P302" s="26"/>
      <x:c r="Q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60"/>
      <x:c r="K303" s="60"/>
      <x:c r="L303" s="60"/>
      <x:c r="M303" s="60"/>
      <x:c r="N303" s="60"/>
      <x:c r="O303" s="60"/>
      <x:c r="P303" s="26"/>
      <x:c r="Q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60"/>
      <x:c r="K304" s="60"/>
      <x:c r="L304" s="60"/>
      <x:c r="M304" s="60"/>
      <x:c r="N304" s="60"/>
      <x:c r="O304" s="60"/>
      <x:c r="P304" s="26"/>
      <x:c r="Q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60"/>
      <x:c r="K305" s="60"/>
      <x:c r="L305" s="60"/>
      <x:c r="M305" s="60"/>
      <x:c r="N305" s="60"/>
      <x:c r="O305" s="60"/>
      <x:c r="P305" s="26"/>
      <x:c r="Q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60"/>
      <x:c r="K306" s="60"/>
      <x:c r="L306" s="60"/>
      <x:c r="M306" s="60"/>
      <x:c r="N306" s="60"/>
      <x:c r="O306" s="60"/>
      <x:c r="P306" s="26"/>
      <x:c r="Q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60"/>
      <x:c r="K307" s="60"/>
      <x:c r="L307" s="60"/>
      <x:c r="M307" s="60"/>
      <x:c r="N307" s="60"/>
      <x:c r="O307" s="60"/>
      <x:c r="P307" s="26"/>
      <x:c r="Q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60"/>
      <x:c r="K308" s="60"/>
      <x:c r="L308" s="60"/>
      <x:c r="M308" s="60"/>
      <x:c r="N308" s="60"/>
      <x:c r="O308" s="60"/>
      <x:c r="P308" s="26"/>
      <x:c r="Q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60"/>
      <x:c r="K309" s="60"/>
      <x:c r="L309" s="60"/>
      <x:c r="M309" s="60"/>
      <x:c r="N309" s="60"/>
      <x:c r="O309" s="60"/>
      <x:c r="P309" s="26"/>
      <x:c r="Q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60"/>
      <x:c r="K310" s="60"/>
      <x:c r="L310" s="60"/>
      <x:c r="M310" s="60"/>
      <x:c r="N310" s="60"/>
      <x:c r="O310" s="60"/>
      <x:c r="P310" s="26"/>
      <x:c r="Q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60"/>
      <x:c r="K311" s="60"/>
      <x:c r="L311" s="60"/>
      <x:c r="M311" s="60"/>
      <x:c r="N311" s="60"/>
      <x:c r="O311" s="60"/>
      <x:c r="P311" s="26"/>
      <x:c r="Q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60"/>
      <x:c r="K312" s="60"/>
      <x:c r="L312" s="60"/>
      <x:c r="M312" s="60"/>
      <x:c r="N312" s="60"/>
      <x:c r="O312" s="60"/>
      <x:c r="P312" s="26"/>
      <x:c r="Q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60"/>
      <x:c r="K313" s="60"/>
      <x:c r="L313" s="60"/>
      <x:c r="M313" s="60"/>
      <x:c r="N313" s="60"/>
      <x:c r="O313" s="60"/>
      <x:c r="P313" s="26"/>
      <x:c r="Q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60"/>
      <x:c r="K314" s="60"/>
      <x:c r="L314" s="60"/>
      <x:c r="M314" s="60"/>
      <x:c r="N314" s="60"/>
      <x:c r="O314" s="60"/>
      <x:c r="P314" s="26"/>
      <x:c r="Q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60"/>
      <x:c r="K315" s="60"/>
      <x:c r="L315" s="60"/>
      <x:c r="M315" s="60"/>
      <x:c r="N315" s="60"/>
      <x:c r="O315" s="60"/>
      <x:c r="P315" s="26"/>
      <x:c r="Q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60"/>
      <x:c r="K316" s="60"/>
      <x:c r="L316" s="60"/>
      <x:c r="M316" s="60"/>
      <x:c r="N316" s="60"/>
      <x:c r="O316" s="60"/>
      <x:c r="P316" s="26"/>
      <x:c r="Q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60"/>
      <x:c r="K317" s="60"/>
      <x:c r="L317" s="60"/>
      <x:c r="M317" s="60"/>
      <x:c r="N317" s="60"/>
      <x:c r="O317" s="60"/>
      <x:c r="P317" s="26"/>
      <x:c r="Q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60"/>
      <x:c r="K318" s="60"/>
      <x:c r="L318" s="60"/>
      <x:c r="M318" s="60"/>
      <x:c r="N318" s="60"/>
      <x:c r="O318" s="60"/>
      <x:c r="P318" s="26"/>
      <x:c r="Q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60"/>
      <x:c r="K319" s="60"/>
      <x:c r="L319" s="60"/>
      <x:c r="M319" s="60"/>
      <x:c r="N319" s="60"/>
      <x:c r="O319" s="60"/>
      <x:c r="P319" s="26"/>
      <x:c r="Q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60"/>
      <x:c r="K320" s="60"/>
      <x:c r="L320" s="60"/>
      <x:c r="M320" s="60"/>
      <x:c r="N320" s="60"/>
      <x:c r="O320" s="60"/>
      <x:c r="P320" s="26"/>
      <x:c r="Q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60"/>
      <x:c r="K321" s="60"/>
      <x:c r="L321" s="60"/>
      <x:c r="M321" s="60"/>
      <x:c r="N321" s="60"/>
      <x:c r="O321" s="60"/>
      <x:c r="P321" s="26"/>
      <x:c r="Q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60"/>
      <x:c r="K322" s="60"/>
      <x:c r="L322" s="60"/>
      <x:c r="M322" s="60"/>
      <x:c r="N322" s="60"/>
      <x:c r="O322" s="60"/>
      <x:c r="P322" s="26"/>
      <x:c r="Q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60"/>
      <x:c r="K323" s="60"/>
      <x:c r="L323" s="60"/>
      <x:c r="M323" s="60"/>
      <x:c r="N323" s="60"/>
      <x:c r="O323" s="60"/>
      <x:c r="P323" s="26"/>
      <x:c r="Q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60"/>
      <x:c r="K324" s="60"/>
      <x:c r="L324" s="60"/>
      <x:c r="M324" s="60"/>
      <x:c r="N324" s="60"/>
      <x:c r="O324" s="60"/>
      <x:c r="P324" s="26"/>
      <x:c r="Q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60"/>
      <x:c r="K325" s="60"/>
      <x:c r="L325" s="60"/>
      <x:c r="M325" s="60"/>
      <x:c r="N325" s="60"/>
      <x:c r="O325" s="60"/>
      <x:c r="P325" s="26"/>
      <x:c r="Q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60"/>
      <x:c r="K326" s="60"/>
      <x:c r="L326" s="60"/>
      <x:c r="M326" s="60"/>
      <x:c r="N326" s="60"/>
      <x:c r="O326" s="60"/>
      <x:c r="P326" s="26"/>
      <x:c r="Q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60"/>
      <x:c r="K327" s="60"/>
      <x:c r="L327" s="60"/>
      <x:c r="M327" s="60"/>
      <x:c r="N327" s="60"/>
      <x:c r="O327" s="60"/>
      <x:c r="P327" s="26"/>
      <x:c r="Q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60"/>
      <x:c r="K328" s="60"/>
      <x:c r="L328" s="60"/>
      <x:c r="M328" s="60"/>
      <x:c r="N328" s="60"/>
      <x:c r="O328" s="60"/>
      <x:c r="P328" s="26"/>
      <x:c r="Q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60"/>
      <x:c r="K329" s="60"/>
      <x:c r="L329" s="60"/>
      <x:c r="M329" s="60"/>
      <x:c r="N329" s="60"/>
      <x:c r="O329" s="60"/>
      <x:c r="P329" s="26"/>
      <x:c r="Q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60"/>
      <x:c r="K330" s="60"/>
      <x:c r="L330" s="60"/>
      <x:c r="M330" s="60"/>
      <x:c r="N330" s="60"/>
      <x:c r="O330" s="60"/>
      <x:c r="P330" s="26"/>
      <x:c r="Q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60"/>
      <x:c r="K331" s="60"/>
      <x:c r="L331" s="60"/>
      <x:c r="M331" s="60"/>
      <x:c r="N331" s="60"/>
      <x:c r="O331" s="60"/>
      <x:c r="P331" s="26"/>
      <x:c r="Q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60"/>
      <x:c r="K332" s="60"/>
      <x:c r="L332" s="60"/>
      <x:c r="M332" s="60"/>
      <x:c r="N332" s="60"/>
      <x:c r="O332" s="60"/>
      <x:c r="P332" s="26"/>
      <x:c r="Q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60"/>
      <x:c r="K333" s="60"/>
      <x:c r="L333" s="60"/>
      <x:c r="M333" s="60"/>
      <x:c r="N333" s="60"/>
      <x:c r="O333" s="60"/>
      <x:c r="P333" s="26"/>
      <x:c r="Q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60"/>
      <x:c r="K334" s="60"/>
      <x:c r="L334" s="60"/>
      <x:c r="M334" s="60"/>
      <x:c r="N334" s="60"/>
      <x:c r="O334" s="60"/>
      <x:c r="P334" s="26"/>
      <x:c r="Q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60"/>
      <x:c r="K335" s="60"/>
      <x:c r="L335" s="60"/>
      <x:c r="M335" s="60"/>
      <x:c r="N335" s="60"/>
      <x:c r="O335" s="60"/>
      <x:c r="P335" s="26"/>
      <x:c r="Q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60"/>
      <x:c r="K336" s="60"/>
      <x:c r="L336" s="60"/>
      <x:c r="M336" s="60"/>
      <x:c r="N336" s="60"/>
      <x:c r="O336" s="60"/>
      <x:c r="P336" s="26"/>
      <x:c r="Q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60"/>
      <x:c r="K337" s="60"/>
      <x:c r="L337" s="60"/>
      <x:c r="M337" s="60"/>
      <x:c r="N337" s="60"/>
      <x:c r="O337" s="60"/>
      <x:c r="P337" s="26"/>
      <x:c r="Q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60"/>
      <x:c r="K338" s="60"/>
      <x:c r="L338" s="60"/>
      <x:c r="M338" s="60"/>
      <x:c r="N338" s="60"/>
      <x:c r="O338" s="60"/>
      <x:c r="P338" s="26"/>
      <x:c r="Q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60"/>
      <x:c r="K339" s="60"/>
      <x:c r="L339" s="60"/>
      <x:c r="M339" s="60"/>
      <x:c r="N339" s="60"/>
      <x:c r="O339" s="60"/>
      <x:c r="P339" s="26"/>
      <x:c r="Q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60"/>
      <x:c r="K340" s="60"/>
      <x:c r="L340" s="60"/>
      <x:c r="M340" s="60"/>
      <x:c r="N340" s="60"/>
      <x:c r="O340" s="60"/>
      <x:c r="P340" s="26"/>
      <x:c r="Q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60"/>
      <x:c r="K341" s="60"/>
      <x:c r="L341" s="60"/>
      <x:c r="M341" s="60"/>
      <x:c r="N341" s="60"/>
      <x:c r="O341" s="60"/>
      <x:c r="P341" s="26"/>
      <x:c r="Q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60"/>
      <x:c r="K342" s="60"/>
      <x:c r="L342" s="60"/>
      <x:c r="M342" s="60"/>
      <x:c r="N342" s="60"/>
      <x:c r="O342" s="60"/>
      <x:c r="P342" s="26"/>
      <x:c r="Q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60"/>
      <x:c r="K343" s="60"/>
      <x:c r="L343" s="60"/>
      <x:c r="M343" s="60"/>
      <x:c r="N343" s="60"/>
      <x:c r="O343" s="60"/>
      <x:c r="P343" s="26"/>
      <x:c r="Q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60"/>
      <x:c r="K344" s="60"/>
      <x:c r="L344" s="60"/>
      <x:c r="M344" s="60"/>
      <x:c r="N344" s="60"/>
      <x:c r="O344" s="60"/>
      <x:c r="P344" s="26"/>
      <x:c r="Q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60"/>
      <x:c r="K345" s="60"/>
      <x:c r="L345" s="60"/>
      <x:c r="M345" s="60"/>
      <x:c r="N345" s="60"/>
      <x:c r="O345" s="60"/>
      <x:c r="P345" s="26"/>
      <x:c r="Q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60"/>
      <x:c r="K346" s="60"/>
      <x:c r="L346" s="60"/>
      <x:c r="M346" s="60"/>
      <x:c r="N346" s="60"/>
      <x:c r="O346" s="60"/>
      <x:c r="P346" s="26"/>
      <x:c r="Q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60"/>
      <x:c r="K347" s="60"/>
      <x:c r="L347" s="60"/>
      <x:c r="M347" s="60"/>
      <x:c r="N347" s="60"/>
      <x:c r="O347" s="60"/>
      <x:c r="P347" s="26"/>
      <x:c r="Q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60"/>
      <x:c r="K348" s="60"/>
      <x:c r="L348" s="60"/>
      <x:c r="M348" s="60"/>
      <x:c r="N348" s="60"/>
      <x:c r="O348" s="60"/>
      <x:c r="P348" s="26"/>
      <x:c r="Q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60"/>
      <x:c r="K349" s="60"/>
      <x:c r="L349" s="60"/>
      <x:c r="M349" s="60"/>
      <x:c r="N349" s="60"/>
      <x:c r="O349" s="60"/>
      <x:c r="P349" s="26"/>
      <x:c r="Q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60"/>
      <x:c r="K350" s="60"/>
      <x:c r="L350" s="60"/>
      <x:c r="M350" s="60"/>
      <x:c r="N350" s="60"/>
      <x:c r="O350" s="60"/>
      <x:c r="P350" s="26"/>
      <x:c r="Q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60"/>
      <x:c r="K351" s="60"/>
      <x:c r="L351" s="60"/>
      <x:c r="M351" s="60"/>
      <x:c r="N351" s="60"/>
      <x:c r="O351" s="60"/>
      <x:c r="P351" s="26"/>
      <x:c r="Q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60"/>
      <x:c r="K352" s="60"/>
      <x:c r="L352" s="60"/>
      <x:c r="M352" s="60"/>
      <x:c r="N352" s="60"/>
      <x:c r="O352" s="60"/>
      <x:c r="P352" s="26"/>
      <x:c r="Q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60"/>
      <x:c r="K353" s="60"/>
      <x:c r="L353" s="60"/>
      <x:c r="M353" s="60"/>
      <x:c r="N353" s="60"/>
      <x:c r="O353" s="60"/>
      <x:c r="P353" s="26"/>
      <x:c r="Q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60"/>
      <x:c r="K354" s="60"/>
      <x:c r="L354" s="60"/>
      <x:c r="M354" s="60"/>
      <x:c r="N354" s="60"/>
      <x:c r="O354" s="60"/>
      <x:c r="P354" s="26"/>
      <x:c r="Q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60"/>
      <x:c r="K355" s="60"/>
      <x:c r="L355" s="60"/>
      <x:c r="M355" s="60"/>
      <x:c r="N355" s="60"/>
      <x:c r="O355" s="60"/>
      <x:c r="P355" s="26"/>
      <x:c r="Q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60"/>
      <x:c r="K356" s="60"/>
      <x:c r="L356" s="60"/>
      <x:c r="M356" s="60"/>
      <x:c r="N356" s="60"/>
      <x:c r="O356" s="60"/>
      <x:c r="P356" s="26"/>
      <x:c r="Q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60"/>
      <x:c r="K357" s="60"/>
      <x:c r="L357" s="60"/>
      <x:c r="M357" s="60"/>
      <x:c r="N357" s="60"/>
      <x:c r="O357" s="60"/>
      <x:c r="P357" s="26"/>
      <x:c r="Q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60"/>
      <x:c r="K358" s="60"/>
      <x:c r="L358" s="60"/>
      <x:c r="M358" s="60"/>
      <x:c r="N358" s="60"/>
      <x:c r="O358" s="60"/>
      <x:c r="P358" s="26"/>
      <x:c r="Q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60"/>
      <x:c r="K359" s="60"/>
      <x:c r="L359" s="60"/>
      <x:c r="M359" s="60"/>
      <x:c r="N359" s="60"/>
      <x:c r="O359" s="60"/>
      <x:c r="P359" s="26"/>
      <x:c r="Q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60"/>
      <x:c r="K360" s="60"/>
      <x:c r="L360" s="60"/>
      <x:c r="M360" s="60"/>
      <x:c r="N360" s="60"/>
      <x:c r="O360" s="60"/>
      <x:c r="P360" s="26"/>
      <x:c r="Q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60"/>
      <x:c r="K361" s="60"/>
      <x:c r="L361" s="60"/>
      <x:c r="M361" s="60"/>
      <x:c r="N361" s="60"/>
      <x:c r="O361" s="60"/>
      <x:c r="P361" s="26"/>
      <x:c r="Q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60"/>
      <x:c r="K362" s="60"/>
      <x:c r="L362" s="60"/>
      <x:c r="M362" s="60"/>
      <x:c r="N362" s="60"/>
      <x:c r="O362" s="60"/>
      <x:c r="P362" s="26"/>
      <x:c r="Q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60"/>
      <x:c r="K363" s="60"/>
      <x:c r="L363" s="60"/>
      <x:c r="M363" s="60"/>
      <x:c r="N363" s="60"/>
      <x:c r="O363" s="60"/>
      <x:c r="P363" s="26"/>
      <x:c r="Q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60"/>
      <x:c r="K364" s="60"/>
      <x:c r="L364" s="60"/>
      <x:c r="M364" s="60"/>
      <x:c r="N364" s="60"/>
      <x:c r="O364" s="60"/>
      <x:c r="P364" s="26"/>
      <x:c r="Q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60"/>
      <x:c r="K365" s="60"/>
      <x:c r="L365" s="60"/>
      <x:c r="M365" s="60"/>
      <x:c r="N365" s="60"/>
      <x:c r="O365" s="60"/>
      <x:c r="P365" s="26"/>
      <x:c r="Q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60"/>
      <x:c r="K366" s="60"/>
      <x:c r="L366" s="60"/>
      <x:c r="M366" s="60"/>
      <x:c r="N366" s="60"/>
      <x:c r="O366" s="60"/>
      <x:c r="P366" s="26"/>
      <x:c r="Q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60"/>
      <x:c r="K367" s="60"/>
      <x:c r="L367" s="60"/>
      <x:c r="M367" s="60"/>
      <x:c r="N367" s="60"/>
      <x:c r="O367" s="60"/>
      <x:c r="P367" s="26"/>
      <x:c r="Q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60"/>
      <x:c r="K368" s="60"/>
      <x:c r="L368" s="60"/>
      <x:c r="M368" s="60"/>
      <x:c r="N368" s="60"/>
      <x:c r="O368" s="60"/>
      <x:c r="P368" s="26"/>
      <x:c r="Q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60"/>
      <x:c r="K369" s="60"/>
      <x:c r="L369" s="60"/>
      <x:c r="M369" s="60"/>
      <x:c r="N369" s="60"/>
      <x:c r="O369" s="60"/>
      <x:c r="P369" s="26"/>
      <x:c r="Q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60"/>
      <x:c r="K370" s="60"/>
      <x:c r="L370" s="60"/>
      <x:c r="M370" s="60"/>
      <x:c r="N370" s="60"/>
      <x:c r="O370" s="60"/>
      <x:c r="P370" s="26"/>
      <x:c r="Q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60"/>
      <x:c r="K371" s="60"/>
      <x:c r="L371" s="60"/>
      <x:c r="M371" s="60"/>
      <x:c r="N371" s="60"/>
      <x:c r="O371" s="60"/>
      <x:c r="P371" s="26"/>
      <x:c r="Q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60"/>
      <x:c r="K372" s="60"/>
      <x:c r="L372" s="60"/>
      <x:c r="M372" s="60"/>
      <x:c r="N372" s="60"/>
      <x:c r="O372" s="60"/>
      <x:c r="P372" s="26"/>
      <x:c r="Q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60"/>
      <x:c r="K373" s="60"/>
      <x:c r="L373" s="60"/>
      <x:c r="M373" s="60"/>
      <x:c r="N373" s="60"/>
      <x:c r="O373" s="60"/>
      <x:c r="P373" s="26"/>
      <x:c r="Q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60"/>
      <x:c r="K374" s="60"/>
      <x:c r="L374" s="60"/>
      <x:c r="M374" s="60"/>
      <x:c r="N374" s="60"/>
      <x:c r="O374" s="60"/>
      <x:c r="P374" s="26"/>
      <x:c r="Q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60"/>
      <x:c r="K375" s="60"/>
      <x:c r="L375" s="60"/>
      <x:c r="M375" s="60"/>
      <x:c r="N375" s="60"/>
      <x:c r="O375" s="60"/>
      <x:c r="P375" s="26"/>
      <x:c r="Q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60"/>
      <x:c r="K376" s="60"/>
      <x:c r="L376" s="60"/>
      <x:c r="M376" s="60"/>
      <x:c r="N376" s="60"/>
      <x:c r="O376" s="60"/>
      <x:c r="P376" s="26"/>
      <x:c r="Q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60"/>
      <x:c r="K377" s="60"/>
      <x:c r="L377" s="60"/>
      <x:c r="M377" s="60"/>
      <x:c r="N377" s="60"/>
      <x:c r="O377" s="60"/>
      <x:c r="P377" s="26"/>
      <x:c r="Q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60"/>
      <x:c r="K378" s="60"/>
      <x:c r="L378" s="60"/>
      <x:c r="M378" s="60"/>
      <x:c r="N378" s="60"/>
      <x:c r="O378" s="60"/>
      <x:c r="P378" s="26"/>
      <x:c r="Q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60"/>
      <x:c r="K379" s="60"/>
      <x:c r="L379" s="60"/>
      <x:c r="M379" s="60"/>
      <x:c r="N379" s="60"/>
      <x:c r="O379" s="60"/>
      <x:c r="P379" s="26"/>
      <x:c r="Q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60"/>
      <x:c r="K380" s="60"/>
      <x:c r="L380" s="60"/>
      <x:c r="M380" s="60"/>
      <x:c r="N380" s="60"/>
      <x:c r="O380" s="60"/>
      <x:c r="P380" s="26"/>
      <x:c r="Q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60"/>
      <x:c r="K381" s="60"/>
      <x:c r="L381" s="60"/>
      <x:c r="M381" s="60"/>
      <x:c r="N381" s="60"/>
      <x:c r="O381" s="60"/>
      <x:c r="P381" s="26"/>
      <x:c r="Q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60"/>
      <x:c r="K382" s="60"/>
      <x:c r="L382" s="60"/>
      <x:c r="M382" s="60"/>
      <x:c r="N382" s="60"/>
      <x:c r="O382" s="60"/>
      <x:c r="P382" s="26"/>
      <x:c r="Q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60"/>
      <x:c r="K383" s="60"/>
      <x:c r="L383" s="60"/>
      <x:c r="M383" s="60"/>
      <x:c r="N383" s="60"/>
      <x:c r="O383" s="60"/>
      <x:c r="P383" s="26"/>
      <x:c r="Q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60"/>
      <x:c r="K384" s="60"/>
      <x:c r="L384" s="60"/>
      <x:c r="M384" s="60"/>
      <x:c r="N384" s="60"/>
      <x:c r="O384" s="60"/>
      <x:c r="P384" s="26"/>
      <x:c r="Q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60"/>
      <x:c r="K385" s="60"/>
      <x:c r="L385" s="60"/>
      <x:c r="M385" s="60"/>
      <x:c r="N385" s="60"/>
      <x:c r="O385" s="60"/>
      <x:c r="P385" s="26"/>
      <x:c r="Q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60"/>
      <x:c r="K386" s="60"/>
      <x:c r="L386" s="60"/>
      <x:c r="M386" s="60"/>
      <x:c r="N386" s="60"/>
      <x:c r="O386" s="60"/>
      <x:c r="P386" s="26"/>
      <x:c r="Q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60"/>
      <x:c r="K387" s="60"/>
      <x:c r="L387" s="60"/>
      <x:c r="M387" s="60"/>
      <x:c r="N387" s="60"/>
      <x:c r="O387" s="60"/>
      <x:c r="P387" s="26"/>
      <x:c r="Q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60"/>
      <x:c r="K388" s="60"/>
      <x:c r="L388" s="60"/>
      <x:c r="M388" s="60"/>
      <x:c r="N388" s="60"/>
      <x:c r="O388" s="60"/>
      <x:c r="P388" s="26"/>
      <x:c r="Q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60"/>
      <x:c r="K389" s="60"/>
      <x:c r="L389" s="60"/>
      <x:c r="M389" s="60"/>
      <x:c r="N389" s="60"/>
      <x:c r="O389" s="60"/>
      <x:c r="P389" s="26"/>
      <x:c r="Q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60"/>
      <x:c r="K390" s="60"/>
      <x:c r="L390" s="60"/>
      <x:c r="M390" s="60"/>
      <x:c r="N390" s="60"/>
      <x:c r="O390" s="60"/>
      <x:c r="P390" s="26"/>
      <x:c r="Q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60"/>
      <x:c r="K391" s="60"/>
      <x:c r="L391" s="60"/>
      <x:c r="M391" s="60"/>
      <x:c r="N391" s="60"/>
      <x:c r="O391" s="60"/>
      <x:c r="P391" s="26"/>
      <x:c r="Q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60"/>
      <x:c r="K392" s="60"/>
      <x:c r="L392" s="60"/>
      <x:c r="M392" s="60"/>
      <x:c r="N392" s="60"/>
      <x:c r="O392" s="60"/>
      <x:c r="P392" s="26"/>
      <x:c r="Q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60"/>
      <x:c r="K393" s="60"/>
      <x:c r="L393" s="60"/>
      <x:c r="M393" s="60"/>
      <x:c r="N393" s="60"/>
      <x:c r="O393" s="60"/>
      <x:c r="P393" s="26"/>
      <x:c r="Q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60"/>
      <x:c r="K394" s="60"/>
      <x:c r="L394" s="60"/>
      <x:c r="M394" s="60"/>
      <x:c r="N394" s="60"/>
      <x:c r="O394" s="60"/>
      <x:c r="P394" s="26"/>
      <x:c r="Q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60"/>
      <x:c r="K395" s="60"/>
      <x:c r="L395" s="60"/>
      <x:c r="M395" s="60"/>
      <x:c r="N395" s="60"/>
      <x:c r="O395" s="60"/>
      <x:c r="P395" s="26"/>
      <x:c r="Q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60"/>
      <x:c r="K396" s="60"/>
      <x:c r="L396" s="60"/>
      <x:c r="M396" s="60"/>
      <x:c r="N396" s="60"/>
      <x:c r="O396" s="60"/>
      <x:c r="P396" s="26"/>
      <x:c r="Q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60"/>
      <x:c r="K397" s="60"/>
      <x:c r="L397" s="60"/>
      <x:c r="M397" s="60"/>
      <x:c r="N397" s="60"/>
      <x:c r="O397" s="60"/>
      <x:c r="P397" s="26"/>
      <x:c r="Q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60"/>
      <x:c r="K398" s="60"/>
      <x:c r="L398" s="60"/>
      <x:c r="M398" s="60"/>
      <x:c r="N398" s="60"/>
      <x:c r="O398" s="60"/>
      <x:c r="P398" s="26"/>
      <x:c r="Q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60"/>
      <x:c r="K399" s="60"/>
      <x:c r="L399" s="60"/>
      <x:c r="M399" s="60"/>
      <x:c r="N399" s="60"/>
      <x:c r="O399" s="60"/>
      <x:c r="P399" s="26"/>
      <x:c r="Q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60"/>
      <x:c r="K400" s="60"/>
      <x:c r="L400" s="60"/>
      <x:c r="M400" s="60"/>
      <x:c r="N400" s="60"/>
      <x:c r="O400" s="60"/>
      <x:c r="P400" s="26"/>
      <x:c r="Q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60"/>
      <x:c r="K401" s="60"/>
      <x:c r="L401" s="60"/>
      <x:c r="M401" s="60"/>
      <x:c r="N401" s="60"/>
      <x:c r="O401" s="60"/>
      <x:c r="P401" s="26"/>
      <x:c r="Q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60"/>
      <x:c r="K402" s="60"/>
      <x:c r="L402" s="60"/>
      <x:c r="M402" s="60"/>
      <x:c r="N402" s="60"/>
      <x:c r="O402" s="60"/>
      <x:c r="P402" s="26"/>
      <x:c r="Q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60"/>
      <x:c r="K403" s="60"/>
      <x:c r="L403" s="60"/>
      <x:c r="M403" s="60"/>
      <x:c r="N403" s="60"/>
      <x:c r="O403" s="60"/>
      <x:c r="P403" s="26"/>
      <x:c r="Q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60"/>
      <x:c r="K404" s="60"/>
      <x:c r="L404" s="60"/>
      <x:c r="M404" s="60"/>
      <x:c r="N404" s="60"/>
      <x:c r="O404" s="60"/>
      <x:c r="P404" s="26"/>
      <x:c r="Q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60"/>
      <x:c r="K405" s="60"/>
      <x:c r="L405" s="60"/>
      <x:c r="M405" s="60"/>
      <x:c r="N405" s="60"/>
      <x:c r="O405" s="60"/>
      <x:c r="P405" s="26"/>
      <x:c r="Q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60"/>
      <x:c r="K406" s="60"/>
      <x:c r="L406" s="60"/>
      <x:c r="M406" s="60"/>
      <x:c r="N406" s="60"/>
      <x:c r="O406" s="60"/>
      <x:c r="P406" s="26"/>
      <x:c r="Q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60"/>
      <x:c r="K407" s="60"/>
      <x:c r="L407" s="60"/>
      <x:c r="M407" s="60"/>
      <x:c r="N407" s="60"/>
      <x:c r="O407" s="60"/>
      <x:c r="P407" s="26"/>
      <x:c r="Q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60"/>
      <x:c r="K408" s="60"/>
      <x:c r="L408" s="60"/>
      <x:c r="M408" s="60"/>
      <x:c r="N408" s="60"/>
      <x:c r="O408" s="60"/>
      <x:c r="P408" s="26"/>
      <x:c r="Q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60"/>
      <x:c r="K409" s="60"/>
      <x:c r="L409" s="60"/>
      <x:c r="M409" s="60"/>
      <x:c r="N409" s="60"/>
      <x:c r="O409" s="60"/>
      <x:c r="P409" s="26"/>
      <x:c r="Q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60"/>
      <x:c r="K410" s="60"/>
      <x:c r="L410" s="60"/>
      <x:c r="M410" s="60"/>
      <x:c r="N410" s="60"/>
      <x:c r="O410" s="60"/>
      <x:c r="P410" s="26"/>
      <x:c r="Q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60"/>
      <x:c r="K411" s="60"/>
      <x:c r="L411" s="60"/>
      <x:c r="M411" s="60"/>
      <x:c r="N411" s="60"/>
      <x:c r="O411" s="60"/>
      <x:c r="P411" s="26"/>
      <x:c r="Q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60"/>
      <x:c r="K412" s="60"/>
      <x:c r="L412" s="60"/>
      <x:c r="M412" s="60"/>
      <x:c r="N412" s="60"/>
      <x:c r="O412" s="60"/>
      <x:c r="P412" s="26"/>
      <x:c r="Q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60"/>
      <x:c r="K413" s="60"/>
      <x:c r="L413" s="60"/>
      <x:c r="M413" s="60"/>
      <x:c r="N413" s="60"/>
      <x:c r="O413" s="60"/>
      <x:c r="P413" s="26"/>
      <x:c r="Q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60"/>
      <x:c r="K414" s="60"/>
      <x:c r="L414" s="60"/>
      <x:c r="M414" s="60"/>
      <x:c r="N414" s="60"/>
      <x:c r="O414" s="60"/>
      <x:c r="P414" s="26"/>
      <x:c r="Q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60"/>
      <x:c r="K415" s="60"/>
      <x:c r="L415" s="60"/>
      <x:c r="M415" s="60"/>
      <x:c r="N415" s="60"/>
      <x:c r="O415" s="60"/>
      <x:c r="P415" s="26"/>
      <x:c r="Q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60"/>
      <x:c r="K416" s="60"/>
      <x:c r="L416" s="60"/>
      <x:c r="M416" s="60"/>
      <x:c r="N416" s="60"/>
      <x:c r="O416" s="60"/>
      <x:c r="P416" s="26"/>
      <x:c r="Q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60"/>
      <x:c r="K417" s="60"/>
      <x:c r="L417" s="60"/>
      <x:c r="M417" s="60"/>
      <x:c r="N417" s="60"/>
      <x:c r="O417" s="60"/>
      <x:c r="P417" s="26"/>
      <x:c r="Q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60"/>
      <x:c r="K418" s="60"/>
      <x:c r="L418" s="60"/>
      <x:c r="M418" s="60"/>
      <x:c r="N418" s="60"/>
      <x:c r="O418" s="60"/>
      <x:c r="P418" s="26"/>
      <x:c r="Q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60"/>
      <x:c r="K419" s="60"/>
      <x:c r="L419" s="60"/>
      <x:c r="M419" s="60"/>
      <x:c r="N419" s="60"/>
      <x:c r="O419" s="60"/>
      <x:c r="P419" s="26"/>
      <x:c r="Q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60"/>
      <x:c r="K420" s="60"/>
      <x:c r="L420" s="60"/>
      <x:c r="M420" s="60"/>
      <x:c r="N420" s="60"/>
      <x:c r="O420" s="60"/>
      <x:c r="P420" s="26"/>
      <x:c r="Q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60"/>
      <x:c r="K421" s="60"/>
      <x:c r="L421" s="60"/>
      <x:c r="M421" s="60"/>
      <x:c r="N421" s="60"/>
      <x:c r="O421" s="60"/>
      <x:c r="P421" s="26"/>
      <x:c r="Q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60"/>
      <x:c r="K422" s="60"/>
      <x:c r="L422" s="60"/>
      <x:c r="M422" s="60"/>
      <x:c r="N422" s="60"/>
      <x:c r="O422" s="60"/>
      <x:c r="P422" s="26"/>
      <x:c r="Q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60"/>
      <x:c r="K423" s="60"/>
      <x:c r="L423" s="60"/>
      <x:c r="M423" s="60"/>
      <x:c r="N423" s="60"/>
      <x:c r="O423" s="60"/>
      <x:c r="P423" s="26"/>
      <x:c r="Q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60"/>
      <x:c r="K424" s="60"/>
      <x:c r="L424" s="60"/>
      <x:c r="M424" s="60"/>
      <x:c r="N424" s="60"/>
      <x:c r="O424" s="60"/>
      <x:c r="P424" s="26"/>
      <x:c r="Q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60"/>
      <x:c r="K425" s="60"/>
      <x:c r="L425" s="60"/>
      <x:c r="M425" s="60"/>
      <x:c r="N425" s="60"/>
      <x:c r="O425" s="60"/>
      <x:c r="P425" s="26"/>
      <x:c r="Q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60"/>
      <x:c r="K426" s="60"/>
      <x:c r="L426" s="60"/>
      <x:c r="M426" s="60"/>
      <x:c r="N426" s="60"/>
      <x:c r="O426" s="60"/>
      <x:c r="P426" s="26"/>
      <x:c r="Q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60"/>
      <x:c r="K427" s="60"/>
      <x:c r="L427" s="60"/>
      <x:c r="M427" s="60"/>
      <x:c r="N427" s="60"/>
      <x:c r="O427" s="60"/>
      <x:c r="P427" s="26"/>
      <x:c r="Q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60"/>
      <x:c r="K428" s="60"/>
      <x:c r="L428" s="60"/>
      <x:c r="M428" s="60"/>
      <x:c r="N428" s="60"/>
      <x:c r="O428" s="60"/>
      <x:c r="P428" s="26"/>
      <x:c r="Q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60"/>
      <x:c r="K429" s="60"/>
      <x:c r="L429" s="60"/>
      <x:c r="M429" s="60"/>
      <x:c r="N429" s="60"/>
      <x:c r="O429" s="60"/>
      <x:c r="P429" s="26"/>
      <x:c r="Q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60"/>
      <x:c r="K430" s="60"/>
      <x:c r="L430" s="60"/>
      <x:c r="M430" s="60"/>
      <x:c r="N430" s="60"/>
      <x:c r="O430" s="60"/>
      <x:c r="P430" s="26"/>
      <x:c r="Q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60"/>
      <x:c r="K431" s="60"/>
      <x:c r="L431" s="60"/>
      <x:c r="M431" s="60"/>
      <x:c r="N431" s="60"/>
      <x:c r="O431" s="60"/>
      <x:c r="P431" s="26"/>
      <x:c r="Q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60"/>
      <x:c r="K432" s="60"/>
      <x:c r="L432" s="60"/>
      <x:c r="M432" s="60"/>
      <x:c r="N432" s="60"/>
      <x:c r="O432" s="60"/>
      <x:c r="P432" s="26"/>
      <x:c r="Q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60"/>
      <x:c r="K433" s="60"/>
      <x:c r="L433" s="60"/>
      <x:c r="M433" s="60"/>
      <x:c r="N433" s="60"/>
      <x:c r="O433" s="60"/>
      <x:c r="P433" s="26"/>
      <x:c r="Q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60"/>
      <x:c r="K434" s="60"/>
      <x:c r="L434" s="60"/>
      <x:c r="M434" s="60"/>
      <x:c r="N434" s="60"/>
      <x:c r="O434" s="60"/>
      <x:c r="P434" s="26"/>
      <x:c r="Q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60"/>
      <x:c r="K435" s="60"/>
      <x:c r="L435" s="60"/>
      <x:c r="M435" s="60"/>
      <x:c r="N435" s="60"/>
      <x:c r="O435" s="60"/>
      <x:c r="P435" s="26"/>
      <x:c r="Q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60"/>
      <x:c r="K436" s="60"/>
      <x:c r="L436" s="60"/>
      <x:c r="M436" s="60"/>
      <x:c r="N436" s="60"/>
      <x:c r="O436" s="60"/>
      <x:c r="P436" s="26"/>
      <x:c r="Q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60"/>
      <x:c r="K437" s="60"/>
      <x:c r="L437" s="60"/>
      <x:c r="M437" s="60"/>
      <x:c r="N437" s="60"/>
      <x:c r="O437" s="60"/>
      <x:c r="P437" s="26"/>
      <x:c r="Q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60"/>
      <x:c r="K438" s="60"/>
      <x:c r="L438" s="60"/>
      <x:c r="M438" s="60"/>
      <x:c r="N438" s="60"/>
      <x:c r="O438" s="60"/>
      <x:c r="P438" s="26"/>
      <x:c r="Q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60"/>
      <x:c r="K439" s="60"/>
      <x:c r="L439" s="60"/>
      <x:c r="M439" s="60"/>
      <x:c r="N439" s="60"/>
      <x:c r="O439" s="60"/>
      <x:c r="P439" s="26"/>
      <x:c r="Q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60"/>
      <x:c r="K440" s="60"/>
      <x:c r="L440" s="60"/>
      <x:c r="M440" s="60"/>
      <x:c r="N440" s="60"/>
      <x:c r="O440" s="60"/>
      <x:c r="P440" s="26"/>
      <x:c r="Q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60"/>
      <x:c r="K441" s="60"/>
      <x:c r="L441" s="60"/>
      <x:c r="M441" s="60"/>
      <x:c r="N441" s="60"/>
      <x:c r="O441" s="60"/>
      <x:c r="P441" s="26"/>
      <x:c r="Q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60"/>
      <x:c r="K442" s="60"/>
      <x:c r="L442" s="60"/>
      <x:c r="M442" s="60"/>
      <x:c r="N442" s="60"/>
      <x:c r="O442" s="60"/>
      <x:c r="P442" s="26"/>
      <x:c r="Q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60"/>
      <x:c r="K443" s="60"/>
      <x:c r="L443" s="60"/>
      <x:c r="M443" s="60"/>
      <x:c r="N443" s="60"/>
      <x:c r="O443" s="60"/>
      <x:c r="P443" s="26"/>
      <x:c r="Q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60"/>
      <x:c r="K444" s="60"/>
      <x:c r="L444" s="60"/>
      <x:c r="M444" s="60"/>
      <x:c r="N444" s="60"/>
      <x:c r="O444" s="60"/>
      <x:c r="P444" s="26"/>
      <x:c r="Q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60"/>
      <x:c r="K445" s="60"/>
      <x:c r="L445" s="60"/>
      <x:c r="M445" s="60"/>
      <x:c r="N445" s="60"/>
      <x:c r="O445" s="60"/>
      <x:c r="P445" s="26"/>
      <x:c r="Q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60"/>
      <x:c r="K446" s="60"/>
      <x:c r="L446" s="60"/>
      <x:c r="M446" s="60"/>
      <x:c r="N446" s="60"/>
      <x:c r="O446" s="60"/>
      <x:c r="P446" s="26"/>
      <x:c r="Q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60"/>
      <x:c r="K447" s="60"/>
      <x:c r="L447" s="60"/>
      <x:c r="M447" s="60"/>
      <x:c r="N447" s="60"/>
      <x:c r="O447" s="60"/>
      <x:c r="P447" s="26"/>
      <x:c r="Q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60"/>
      <x:c r="K448" s="60"/>
      <x:c r="L448" s="60"/>
      <x:c r="M448" s="60"/>
      <x:c r="N448" s="60"/>
      <x:c r="O448" s="60"/>
      <x:c r="P448" s="26"/>
      <x:c r="Q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60"/>
      <x:c r="K449" s="60"/>
      <x:c r="L449" s="60"/>
      <x:c r="M449" s="60"/>
      <x:c r="N449" s="60"/>
      <x:c r="O449" s="60"/>
      <x:c r="P449" s="26"/>
      <x:c r="Q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60"/>
      <x:c r="K450" s="60"/>
      <x:c r="L450" s="60"/>
      <x:c r="M450" s="60"/>
      <x:c r="N450" s="60"/>
      <x:c r="O450" s="60"/>
      <x:c r="P450" s="26"/>
      <x:c r="Q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60"/>
      <x:c r="K451" s="60"/>
      <x:c r="L451" s="60"/>
      <x:c r="M451" s="60"/>
      <x:c r="N451" s="60"/>
      <x:c r="O451" s="60"/>
      <x:c r="P451" s="26"/>
      <x:c r="Q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60"/>
      <x:c r="K452" s="60"/>
      <x:c r="L452" s="60"/>
      <x:c r="M452" s="60"/>
      <x:c r="N452" s="60"/>
      <x:c r="O452" s="60"/>
      <x:c r="P452" s="26"/>
      <x:c r="Q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60"/>
      <x:c r="K453" s="60"/>
      <x:c r="L453" s="60"/>
      <x:c r="M453" s="60"/>
      <x:c r="N453" s="60"/>
      <x:c r="O453" s="60"/>
      <x:c r="P453" s="26"/>
      <x:c r="Q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60"/>
      <x:c r="K454" s="60"/>
      <x:c r="L454" s="60"/>
      <x:c r="M454" s="60"/>
      <x:c r="N454" s="60"/>
      <x:c r="O454" s="60"/>
      <x:c r="P454" s="26"/>
      <x:c r="Q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60"/>
      <x:c r="K455" s="60"/>
      <x:c r="L455" s="60"/>
      <x:c r="M455" s="60"/>
      <x:c r="N455" s="60"/>
      <x:c r="O455" s="60"/>
      <x:c r="P455" s="26"/>
      <x:c r="Q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60"/>
      <x:c r="K456" s="60"/>
      <x:c r="L456" s="60"/>
      <x:c r="M456" s="60"/>
      <x:c r="N456" s="60"/>
      <x:c r="O456" s="60"/>
      <x:c r="P456" s="26"/>
      <x:c r="Q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60"/>
      <x:c r="K457" s="60"/>
      <x:c r="L457" s="60"/>
      <x:c r="M457" s="60"/>
      <x:c r="N457" s="60"/>
      <x:c r="O457" s="60"/>
      <x:c r="P457" s="26"/>
      <x:c r="Q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60"/>
      <x:c r="K458" s="60"/>
      <x:c r="L458" s="60"/>
      <x:c r="M458" s="60"/>
      <x:c r="N458" s="60"/>
      <x:c r="O458" s="60"/>
      <x:c r="P458" s="26"/>
      <x:c r="Q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60"/>
      <x:c r="K459" s="60"/>
      <x:c r="L459" s="60"/>
      <x:c r="M459" s="60"/>
      <x:c r="N459" s="60"/>
      <x:c r="O459" s="60"/>
      <x:c r="P459" s="26"/>
      <x:c r="Q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60"/>
      <x:c r="K460" s="60"/>
      <x:c r="L460" s="60"/>
      <x:c r="M460" s="60"/>
      <x:c r="N460" s="60"/>
      <x:c r="O460" s="60"/>
      <x:c r="P460" s="26"/>
      <x:c r="Q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60"/>
      <x:c r="K461" s="60"/>
      <x:c r="L461" s="60"/>
      <x:c r="M461" s="60"/>
      <x:c r="N461" s="60"/>
      <x:c r="O461" s="60"/>
      <x:c r="P461" s="26"/>
      <x:c r="Q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60"/>
      <x:c r="K462" s="60"/>
      <x:c r="L462" s="60"/>
      <x:c r="M462" s="60"/>
      <x:c r="N462" s="60"/>
      <x:c r="O462" s="60"/>
      <x:c r="P462" s="26"/>
      <x:c r="Q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60"/>
      <x:c r="K463" s="60"/>
      <x:c r="L463" s="60"/>
      <x:c r="M463" s="60"/>
      <x:c r="N463" s="60"/>
      <x:c r="O463" s="60"/>
      <x:c r="P463" s="26"/>
      <x:c r="Q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60"/>
      <x:c r="K464" s="60"/>
      <x:c r="L464" s="60"/>
      <x:c r="M464" s="60"/>
      <x:c r="N464" s="60"/>
      <x:c r="O464" s="60"/>
      <x:c r="P464" s="26"/>
      <x:c r="Q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60"/>
      <x:c r="K465" s="60"/>
      <x:c r="L465" s="60"/>
      <x:c r="M465" s="60"/>
      <x:c r="N465" s="60"/>
      <x:c r="O465" s="60"/>
      <x:c r="P465" s="26"/>
      <x:c r="Q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60"/>
      <x:c r="K466" s="60"/>
      <x:c r="L466" s="60"/>
      <x:c r="M466" s="60"/>
      <x:c r="N466" s="60"/>
      <x:c r="O466" s="60"/>
      <x:c r="P466" s="26"/>
      <x:c r="Q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60"/>
      <x:c r="K467" s="60"/>
      <x:c r="L467" s="60"/>
      <x:c r="M467" s="60"/>
      <x:c r="N467" s="60"/>
      <x:c r="O467" s="60"/>
      <x:c r="P467" s="26"/>
      <x:c r="Q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60"/>
      <x:c r="K468" s="60"/>
      <x:c r="L468" s="60"/>
      <x:c r="M468" s="60"/>
      <x:c r="N468" s="60"/>
      <x:c r="O468" s="60"/>
      <x:c r="P468" s="26"/>
      <x:c r="Q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60"/>
      <x:c r="K469" s="60"/>
      <x:c r="L469" s="60"/>
      <x:c r="M469" s="60"/>
      <x:c r="N469" s="60"/>
      <x:c r="O469" s="60"/>
      <x:c r="P469" s="26"/>
      <x:c r="Q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60"/>
      <x:c r="K470" s="60"/>
      <x:c r="L470" s="60"/>
      <x:c r="M470" s="60"/>
      <x:c r="N470" s="60"/>
      <x:c r="O470" s="60"/>
      <x:c r="P470" s="26"/>
      <x:c r="Q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60"/>
      <x:c r="K471" s="60"/>
      <x:c r="L471" s="60"/>
      <x:c r="M471" s="60"/>
      <x:c r="N471" s="60"/>
      <x:c r="O471" s="60"/>
      <x:c r="P471" s="26"/>
      <x:c r="Q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60"/>
      <x:c r="K472" s="60"/>
      <x:c r="L472" s="60"/>
      <x:c r="M472" s="60"/>
      <x:c r="N472" s="60"/>
      <x:c r="O472" s="60"/>
      <x:c r="P472" s="26"/>
      <x:c r="Q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60"/>
      <x:c r="K473" s="60"/>
      <x:c r="L473" s="60"/>
      <x:c r="M473" s="60"/>
      <x:c r="N473" s="60"/>
      <x:c r="O473" s="60"/>
      <x:c r="P473" s="26"/>
      <x:c r="Q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60"/>
      <x:c r="K474" s="60"/>
      <x:c r="L474" s="60"/>
      <x:c r="M474" s="60"/>
      <x:c r="N474" s="60"/>
      <x:c r="O474" s="60"/>
      <x:c r="P474" s="26"/>
      <x:c r="Q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60"/>
      <x:c r="K475" s="60"/>
      <x:c r="L475" s="60"/>
      <x:c r="M475" s="60"/>
      <x:c r="N475" s="60"/>
      <x:c r="O475" s="60"/>
      <x:c r="P475" s="26"/>
      <x:c r="Q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60"/>
      <x:c r="K476" s="60"/>
      <x:c r="L476" s="60"/>
      <x:c r="M476" s="60"/>
      <x:c r="N476" s="60"/>
      <x:c r="O476" s="60"/>
      <x:c r="P476" s="26"/>
      <x:c r="Q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60"/>
      <x:c r="K477" s="60"/>
      <x:c r="L477" s="60"/>
      <x:c r="M477" s="60"/>
      <x:c r="N477" s="60"/>
      <x:c r="O477" s="60"/>
      <x:c r="P477" s="26"/>
      <x:c r="Q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60"/>
      <x:c r="K478" s="60"/>
      <x:c r="L478" s="60"/>
      <x:c r="M478" s="60"/>
      <x:c r="N478" s="60"/>
      <x:c r="O478" s="60"/>
      <x:c r="P478" s="26"/>
      <x:c r="Q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60"/>
      <x:c r="K479" s="60"/>
      <x:c r="L479" s="60"/>
      <x:c r="M479" s="60"/>
      <x:c r="N479" s="60"/>
      <x:c r="O479" s="60"/>
      <x:c r="P479" s="26"/>
      <x:c r="Q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60"/>
      <x:c r="K480" s="60"/>
      <x:c r="L480" s="60"/>
      <x:c r="M480" s="60"/>
      <x:c r="N480" s="60"/>
      <x:c r="O480" s="60"/>
      <x:c r="P480" s="26"/>
      <x:c r="Q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60"/>
      <x:c r="K481" s="60"/>
      <x:c r="L481" s="60"/>
      <x:c r="M481" s="60"/>
      <x:c r="N481" s="60"/>
      <x:c r="O481" s="60"/>
      <x:c r="P481" s="26"/>
      <x:c r="Q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60"/>
      <x:c r="K482" s="60"/>
      <x:c r="L482" s="60"/>
      <x:c r="M482" s="60"/>
      <x:c r="N482" s="60"/>
      <x:c r="O482" s="60"/>
      <x:c r="P482" s="26"/>
      <x:c r="Q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60"/>
      <x:c r="K483" s="60"/>
      <x:c r="L483" s="60"/>
      <x:c r="M483" s="60"/>
      <x:c r="N483" s="60"/>
      <x:c r="O483" s="60"/>
      <x:c r="P483" s="26"/>
      <x:c r="Q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60"/>
      <x:c r="K484" s="60"/>
      <x:c r="L484" s="60"/>
      <x:c r="M484" s="60"/>
      <x:c r="N484" s="60"/>
      <x:c r="O484" s="60"/>
      <x:c r="P484" s="26"/>
      <x:c r="Q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60"/>
      <x:c r="K485" s="60"/>
      <x:c r="L485" s="60"/>
      <x:c r="M485" s="60"/>
      <x:c r="N485" s="60"/>
      <x:c r="O485" s="60"/>
      <x:c r="P485" s="26"/>
      <x:c r="Q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60"/>
      <x:c r="K486" s="60"/>
      <x:c r="L486" s="60"/>
      <x:c r="M486" s="60"/>
      <x:c r="N486" s="60"/>
      <x:c r="O486" s="60"/>
      <x:c r="P486" s="26"/>
      <x:c r="Q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60"/>
      <x:c r="K487" s="60"/>
      <x:c r="L487" s="60"/>
      <x:c r="M487" s="60"/>
      <x:c r="N487" s="60"/>
      <x:c r="O487" s="60"/>
      <x:c r="P487" s="26"/>
      <x:c r="Q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60"/>
      <x:c r="K488" s="60"/>
      <x:c r="L488" s="60"/>
      <x:c r="M488" s="60"/>
      <x:c r="N488" s="60"/>
      <x:c r="O488" s="60"/>
      <x:c r="P488" s="26"/>
      <x:c r="Q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60"/>
      <x:c r="K489" s="60"/>
      <x:c r="L489" s="60"/>
      <x:c r="M489" s="60"/>
      <x:c r="N489" s="60"/>
      <x:c r="O489" s="60"/>
      <x:c r="P489" s="26"/>
      <x:c r="Q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60"/>
      <x:c r="K490" s="60"/>
      <x:c r="L490" s="60"/>
      <x:c r="M490" s="60"/>
      <x:c r="N490" s="60"/>
      <x:c r="O490" s="60"/>
      <x:c r="P490" s="26"/>
      <x:c r="Q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60"/>
      <x:c r="K491" s="60"/>
      <x:c r="L491" s="60"/>
      <x:c r="M491" s="60"/>
      <x:c r="N491" s="60"/>
      <x:c r="O491" s="60"/>
      <x:c r="P491" s="26"/>
      <x:c r="Q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60"/>
      <x:c r="K492" s="60"/>
      <x:c r="L492" s="60"/>
      <x:c r="M492" s="60"/>
      <x:c r="N492" s="60"/>
      <x:c r="O492" s="60"/>
      <x:c r="P492" s="26"/>
      <x:c r="Q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60"/>
      <x:c r="K493" s="60"/>
      <x:c r="L493" s="60"/>
      <x:c r="M493" s="60"/>
      <x:c r="N493" s="60"/>
      <x:c r="O493" s="60"/>
      <x:c r="P493" s="26"/>
      <x:c r="Q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60"/>
      <x:c r="K494" s="60"/>
      <x:c r="L494" s="60"/>
      <x:c r="M494" s="60"/>
      <x:c r="N494" s="60"/>
      <x:c r="O494" s="60"/>
      <x:c r="P494" s="26"/>
      <x:c r="Q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60"/>
      <x:c r="K495" s="60"/>
      <x:c r="L495" s="60"/>
      <x:c r="M495" s="60"/>
      <x:c r="N495" s="60"/>
      <x:c r="O495" s="60"/>
      <x:c r="P495" s="26"/>
      <x:c r="Q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60"/>
      <x:c r="K496" s="60"/>
      <x:c r="L496" s="60"/>
      <x:c r="M496" s="60"/>
      <x:c r="N496" s="60"/>
      <x:c r="O496" s="60"/>
      <x:c r="P496" s="26"/>
      <x:c r="Q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60"/>
      <x:c r="K497" s="60"/>
      <x:c r="L497" s="60"/>
      <x:c r="M497" s="60"/>
      <x:c r="N497" s="60"/>
      <x:c r="O497" s="60"/>
      <x:c r="P497" s="26"/>
      <x:c r="Q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60"/>
      <x:c r="K498" s="60"/>
      <x:c r="L498" s="60"/>
      <x:c r="M498" s="60"/>
      <x:c r="N498" s="60"/>
      <x:c r="O498" s="60"/>
      <x:c r="P498" s="26"/>
      <x:c r="Q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60"/>
      <x:c r="K499" s="60"/>
      <x:c r="L499" s="60"/>
      <x:c r="M499" s="60"/>
      <x:c r="N499" s="60"/>
      <x:c r="O499" s="60"/>
      <x:c r="P499" s="26"/>
      <x:c r="Q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60"/>
      <x:c r="K500" s="60"/>
      <x:c r="L500" s="60"/>
      <x:c r="M500" s="60"/>
      <x:c r="N500" s="60"/>
      <x:c r="O500" s="60"/>
      <x:c r="P500" s="26"/>
      <x:c r="Q500" s="26"/>
    </x:row>
    <x:row r="501">
      <x:c r="A501" s="26"/>
      <x:c r="B501" s="26"/>
      <x:c r="C501" s="26"/>
      <x:c r="D501" s="26"/>
      <x:c r="E501" s="26"/>
      <x:c r="F501" s="26"/>
      <x:c r="G501" s="26"/>
      <x:c r="H501" s="26"/>
      <x:c r="I501" s="26"/>
      <x:c r="J501" s="60"/>
      <x:c r="K501" s="60"/>
      <x:c r="L501" s="60"/>
      <x:c r="M501" s="60"/>
      <x:c r="N501" s="60"/>
      <x:c r="O501" s="60"/>
      <x:c r="P501" s="26"/>
      <x:c r="Q501" s="26"/>
    </x:row>
    <x:row r="502">
      <x:c r="A502" s="26"/>
      <x:c r="B502" s="26"/>
      <x:c r="C502" s="26"/>
      <x:c r="D502" s="26"/>
      <x:c r="E502" s="26"/>
      <x:c r="F502" s="26"/>
      <x:c r="G502" s="26"/>
      <x:c r="H502" s="26"/>
      <x:c r="I502" s="26"/>
      <x:c r="J502" s="60"/>
      <x:c r="K502" s="60"/>
      <x:c r="L502" s="60"/>
      <x:c r="M502" s="60"/>
      <x:c r="N502" s="60"/>
      <x:c r="O502" s="60"/>
      <x:c r="P502" s="26"/>
      <x:c r="Q502" s="26"/>
    </x:row>
    <x:row r="503">
      <x:c r="A503" s="26"/>
      <x:c r="B503" s="26"/>
      <x:c r="C503" s="26"/>
      <x:c r="D503" s="26"/>
      <x:c r="E503" s="26"/>
      <x:c r="F503" s="26"/>
      <x:c r="G503" s="26"/>
      <x:c r="H503" s="26"/>
      <x:c r="I503" s="26"/>
      <x:c r="J503" s="60"/>
      <x:c r="K503" s="60"/>
      <x:c r="L503" s="60"/>
      <x:c r="M503" s="60"/>
      <x:c r="N503" s="60"/>
      <x:c r="O503" s="60"/>
      <x:c r="P503" s="26"/>
      <x:c r="Q503" s="26"/>
    </x:row>
  </x:sheetData>
  <x:mergeCells>
    <x:mergeCell ref="A1:Q1"/>
    <x:mergeCell ref="A2:Q2"/>
  </x:mergeCells>
  <x:dataValidations count="3">
    <x:dataValidation type="list" sqref="A4:A503">
      <x:formula1>Lists!$F$2:$F$7</x:formula1>
    </x:dataValidation>
    <x:dataValidation type="list" sqref="I4:I503">
      <x:formula1>"BUY,SELL"</x:formula1>
    </x:dataValidation>
    <x:dataValidation type="list" sqref="Q4:Q503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31" hidden="0" customWidth="1"/>
    <x:col min="5" max="5" width="42" hidden="0" customWidth="1"/>
  </x:cols>
  <x:sheetData>
    <x:row r="1" ht="30" customHeight="1">
      <x:c r="A1" s="14" t="str">
        <x:v>Trading Review Dashboard</x:v>
      </x:c>
      <x:c r="B1" s="14"/>
      <x:c r="C1" s="14"/>
      <x:c r="D1" s="14"/>
      <x:c r="E1" s="14"/>
      <x:c r="F1" s="14"/>
      <x:c r="G1" s="14"/>
      <x:c r="H1" s="14"/>
    </x:row>
    <x:row r="3">
      <x:c r="A3" s="6" t="str">
        <x:v>Metric</x:v>
      </x:c>
      <x:c r="B3" s="6" t="str">
        <x:v>Value</x:v>
      </x:c>
      <x:c r="D3" s="6" t="str">
        <x:v>Review prompt</x:v>
      </x:c>
      <x:c r="E3" s="6" t="str">
        <x:v>Notes</x:v>
      </x:c>
    </x:row>
    <x:row r="4" ht="42" customHeight="1">
      <x:c r="A4" s="64" t="str">
        <x:v>Live trades recorded</x:v>
      </x:c>
      <x:c r="B4" s="28" t="n">
        <x:f>COUNTIF(Trades!$B$4:$B$503,"LIVE ENTRY")</x:f>
        <x:v>0</x:v>
      </x:c>
      <x:c r="D4" s="64" t="str">
        <x:v>What worked best?</x:v>
      </x:c>
      <x:c r="E4" s="55"/>
    </x:row>
    <x:row r="5" ht="42" customHeight="1">
      <x:c r="A5" s="64" t="str">
        <x:v>Total net P&amp;L</x:v>
      </x:c>
      <x:c r="B5" s="47" t="n">
        <x:f>SUMIF(Trades!$B$4:$B$503,"LIVE ENTRY",Trades!$Y$4:$Y$503)</x:f>
        <x:v>0</x:v>
      </x:c>
      <x:c r="D5" s="64" t="str">
        <x:v>What repeated mistake appeared?</x:v>
      </x:c>
      <x:c r="E5" s="55"/>
    </x:row>
    <x:row r="6" ht="42" customHeight="1">
      <x:c r="A6" s="64" t="str">
        <x:v>Winning trades</x:v>
      </x:c>
      <x:c r="B6" s="68" t="n">
        <x:f>COUNTIFS(Trades!$B$4:$B$503,"LIVE ENTRY",Trades!$Y$4:$Y$503,"&gt;0")</x:f>
        <x:v>0</x:v>
      </x:c>
      <x:c r="D6" s="64" t="str">
        <x:v>Which strategy performed best?</x:v>
      </x:c>
      <x:c r="E6" s="55"/>
    </x:row>
    <x:row r="7" ht="42" customHeight="1">
      <x:c r="A7" s="64" t="str">
        <x:v>Losing trades</x:v>
      </x:c>
      <x:c r="B7" s="68" t="n">
        <x:f>COUNTIFS(Trades!$B$4:$B$503,"LIVE ENTRY",Trades!$Y$4:$Y$503,"&lt;0")</x:f>
        <x:v>0</x:v>
      </x:c>
      <x:c r="D7" s="64" t="str">
        <x:v>Did position size match planned risk?</x:v>
      </x:c>
      <x:c r="E7" s="55"/>
    </x:row>
    <x:row r="8" ht="42" customHeight="1">
      <x:c r="A8" s="64" t="str">
        <x:v>Win rate</x:v>
      </x:c>
      <x:c r="B8" s="70" t="n">
        <x:f>IFERROR(B6/B4,0)</x:f>
        <x:v>0</x:v>
      </x:c>
      <x:c r="D8" s="64" t="str">
        <x:v>What will I change next session?</x:v>
      </x:c>
      <x:c r="E8" s="55"/>
    </x:row>
    <x:row r="9">
      <x:c r="A9" s="64" t="str">
        <x:v>Average net P&amp;L</x:v>
      </x:c>
      <x:c r="B9" s="47" t="n">
        <x:f>IFERROR(B5/B4,0)</x:f>
        <x:v>0</x:v>
      </x:c>
    </x:row>
    <x:row r="10">
      <x:c r="A10" s="64" t="str">
        <x:v>Average R-multiple</x:v>
      </x:c>
      <x:c r="B10" s="52" t="n">
        <x:f>IFERROR(AVERAGEIF(Trades!$B$4:$B$503,"LIVE ENTRY",Trades!$AA$4:$AA$503),0)</x:f>
        <x:v>0</x:v>
      </x:c>
    </x:row>
    <x:row r="11">
      <x:c r="A11" s="64" t="str">
        <x:v>Plan-follow rate</x:v>
      </x:c>
      <x:c r="B11" s="70" t="n">
        <x:f>IFERROR(COUNTIFS(Trades!$B$4:$B$503,"LIVE ENTRY",Trades!$AC$4:$AC$503,"Yes")/B4,0)</x:f>
        <x:v>0</x:v>
      </x:c>
    </x:row>
    <x:row r="13">
      <x:c r="A13" s="6" t="str">
        <x:v>Mistake Tag</x:v>
      </x:c>
      <x:c r="B13" s="6" t="str">
        <x:v>Count</x:v>
      </x:c>
      <x:c r="C13" s="6" t="str">
        <x:v>Net P&amp;L</x:v>
      </x:c>
    </x:row>
    <x:row r="14">
      <x:c r="A14" s="64" t="str">
        <x:v>None</x:v>
      </x:c>
      <x:c r="B14" s="28" t="n">
        <x:f>COUNTIFS(Trades!$B$4:$B$503,"LIVE ENTRY",Trades!$Q$4:$Q$503,A14)</x:f>
        <x:v>0</x:v>
      </x:c>
      <x:c r="C14" s="47" t="n">
        <x:f>SUMIFS(Trades!$Y$4:$Y$503,Trades!$B$4:$B$503,"LIVE ENTRY",Trades!$Q$4:$Q$503,A14)</x:f>
        <x:v>0</x:v>
      </x:c>
    </x:row>
    <x:row r="15">
      <x:c r="A15" s="64" t="str">
        <x:v>No Stop</x:v>
      </x:c>
      <x:c r="B15" s="28" t="n">
        <x:f>COUNTIFS(Trades!$B$4:$B$503,"LIVE ENTRY",Trades!$Q$4:$Q$503,A15)</x:f>
        <x:v>0</x:v>
      </x:c>
      <x:c r="C15" s="47" t="n">
        <x:f>SUMIFS(Trades!$Y$4:$Y$503,Trades!$B$4:$B$503,"LIVE ENTRY",Trades!$Q$4:$Q$503,A15)</x:f>
        <x:v>0</x:v>
      </x:c>
    </x:row>
    <x:row r="16">
      <x:c r="A16" s="64" t="str">
        <x:v>Oversized Position</x:v>
      </x:c>
      <x:c r="B16" s="28" t="n">
        <x:f>COUNTIFS(Trades!$B$4:$B$503,"LIVE ENTRY",Trades!$Q$4:$Q$503,A16)</x:f>
        <x:v>0</x:v>
      </x:c>
      <x:c r="C16" s="47" t="n">
        <x:f>SUMIFS(Trades!$Y$4:$Y$503,Trades!$B$4:$B$503,"LIVE ENTRY",Trades!$Q$4:$Q$503,A16)</x:f>
        <x:v>0</x:v>
      </x:c>
    </x:row>
    <x:row r="17">
      <x:c r="A17" s="64" t="str">
        <x:v>Late Entry</x:v>
      </x:c>
      <x:c r="B17" s="28" t="n">
        <x:f>COUNTIFS(Trades!$B$4:$B$503,"LIVE ENTRY",Trades!$Q$4:$Q$503,A17)</x:f>
        <x:v>0</x:v>
      </x:c>
      <x:c r="C17" s="47" t="n">
        <x:f>SUMIFS(Trades!$Y$4:$Y$503,Trades!$B$4:$B$503,"LIVE ENTRY",Trades!$Q$4:$Q$503,A17)</x:f>
        <x:v>0</x:v>
      </x:c>
    </x:row>
    <x:row r="18">
      <x:c r="A18" s="64" t="str">
        <x:v>Early Exit</x:v>
      </x:c>
      <x:c r="B18" s="28" t="n">
        <x:f>COUNTIFS(Trades!$B$4:$B$503,"LIVE ENTRY",Trades!$Q$4:$Q$503,A18)</x:f>
        <x:v>0</x:v>
      </x:c>
      <x:c r="C18" s="47" t="n">
        <x:f>SUMIFS(Trades!$Y$4:$Y$503,Trades!$B$4:$B$503,"LIVE ENTRY",Trades!$Q$4:$Q$503,A18)</x:f>
        <x:v>0</x:v>
      </x:c>
    </x:row>
    <x:row r="19">
      <x:c r="A19" s="64" t="str">
        <x:v>Revenge Trade</x:v>
      </x:c>
      <x:c r="B19" s="28" t="n">
        <x:f>COUNTIFS(Trades!$B$4:$B$503,"LIVE ENTRY",Trades!$Q$4:$Q$503,A19)</x:f>
        <x:v>0</x:v>
      </x:c>
      <x:c r="C19" s="47" t="n">
        <x:f>SUMIFS(Trades!$Y$4:$Y$503,Trades!$B$4:$B$503,"LIVE ENTRY",Trades!$Q$4:$Q$503,A19)</x:f>
        <x:v>0</x:v>
      </x:c>
    </x:row>
    <x:row r="20">
      <x:c r="A20" s="64" t="str">
        <x:v>Overtrading</x:v>
      </x:c>
      <x:c r="B20" s="28" t="n">
        <x:f>COUNTIFS(Trades!$B$4:$B$503,"LIVE ENTRY",Trades!$Q$4:$Q$503,A20)</x:f>
        <x:v>0</x:v>
      </x:c>
      <x:c r="C20" s="47" t="n">
        <x:f>SUMIFS(Trades!$Y$4:$Y$503,Trades!$B$4:$B$503,"LIVE ENTRY",Trades!$Q$4:$Q$503,A20)</x:f>
        <x:v>0</x:v>
      </x:c>
    </x:row>
    <x:row r="21">
      <x:c r="A21" s="64" t="str">
        <x:v>FOMO</x:v>
      </x:c>
      <x:c r="B21" s="28" t="n">
        <x:f>COUNTIFS(Trades!$B$4:$B$503,"LIVE ENTRY",Trades!$Q$4:$Q$503,A21)</x:f>
        <x:v>0</x:v>
      </x:c>
      <x:c r="C21" s="47" t="n">
        <x:f>SUMIFS(Trades!$Y$4:$Y$503,Trades!$B$4:$B$503,"LIVE ENTRY",Trades!$Q$4:$Q$503,A21)</x:f>
        <x:v>0</x:v>
      </x:c>
    </x:row>
    <x:row r="22">
      <x:c r="A22" s="64" t="str">
        <x:v>Ignored Plan</x:v>
      </x:c>
      <x:c r="B22" s="28" t="n">
        <x:f>COUNTIFS(Trades!$B$4:$B$503,"LIVE ENTRY",Trades!$Q$4:$Q$503,A22)</x:f>
        <x:v>0</x:v>
      </x:c>
      <x:c r="C22" s="47" t="n">
        <x:f>SUMIFS(Trades!$Y$4:$Y$503,Trades!$B$4:$B$503,"LIVE ENTRY",Trades!$Q$4:$Q$503,A22)</x:f>
        <x:v>0</x:v>
      </x:c>
    </x:row>
    <x:row r="23">
      <x:c r="A23" s="64" t="str">
        <x:v>Poor Risk Reward</x:v>
      </x:c>
      <x:c r="B23" s="28" t="n">
        <x:f>COUNTIFS(Trades!$B$4:$B$503,"LIVE ENTRY",Trades!$Q$4:$Q$503,A23)</x:f>
        <x:v>0</x:v>
      </x:c>
      <x:c r="C23" s="47" t="n">
        <x:f>SUMIFS(Trades!$Y$4:$Y$503,Trades!$B$4:$B$503,"LIVE ENTRY",Trades!$Q$4:$Q$503,A23)</x:f>
        <x:v>0</x:v>
      </x:c>
    </x:row>
    <x:row r="24">
      <x:c r="A24" s="64" t="str">
        <x:v>Averaged Loser</x:v>
      </x:c>
      <x:c r="B24" s="28" t="n">
        <x:f>COUNTIFS(Trades!$B$4:$B$503,"LIVE ENTRY",Trades!$Q$4:$Q$503,A24)</x:f>
        <x:v>0</x:v>
      </x:c>
      <x:c r="C24" s="47" t="n">
        <x:f>SUMIFS(Trades!$Y$4:$Y$503,Trades!$B$4:$B$503,"LIVE ENTRY",Trades!$Q$4:$Q$503,A24)</x:f>
        <x:v>0</x:v>
      </x:c>
    </x:row>
    <x:row r="25">
      <x:c r="A25" s="64" t="str">
        <x:v>Other</x:v>
      </x:c>
      <x:c r="B25" s="28" t="n">
        <x:f>COUNTIFS(Trades!$B$4:$B$503,"LIVE ENTRY",Trades!$Q$4:$Q$503,A25)</x:f>
        <x:v>0</x:v>
      </x:c>
      <x:c r="C25" s="47" t="n">
        <x:f>SUMIFS(Trades!$Y$4:$Y$503,Trades!$B$4:$B$503,"LIVE ENTRY",Trades!$Q$4:$Q$503,A25)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70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14" t="str">
        <x:v>How to Use This Trading Journal</x:v>
      </x:c>
      <x:c r="B1" s="14"/>
      <x:c r="C1" s="14"/>
      <x:c r="D1" s="14"/>
      <x:c r="E1" s="14"/>
      <x:c r="F1" s="14"/>
    </x:row>
    <x:row r="3">
      <x:c r="A3" s="6" t="str">
        <x:v>Step</x:v>
      </x:c>
      <x:c r="B3" s="6" t="str">
        <x:v>Area</x:v>
      </x:c>
      <x:c r="C3" s="6" t="str">
        <x:v>Instruction</x:v>
      </x:c>
    </x:row>
    <x:row r="4" ht="48" customHeight="1">
      <x:c r="A4" s="76" t="str">
        <x:v>1</x:v>
      </x:c>
      <x:c r="B4" s="64" t="str">
        <x:v>Start in Trades</x:v>
      </x:c>
      <x:c r="C4" s="21" t="str">
        <x:v>Keep the three fictional examples for reference or delete them. Add real trades from row 7 onward and set Row Status to LIVE ENTRY.</x:v>
      </x:c>
    </x:row>
    <x:row r="5" ht="48" customHeight="1">
      <x:c r="A5" s="76" t="str">
        <x:v>2</x:v>
      </x:c>
      <x:c r="B5" s="64" t="str">
        <x:v>Use dropdowns</x:v>
      </x:c>
      <x:c r="C5" s="21" t="str">
        <x:v>Choose market, direction, strategy, mistake tag and emotion from the dropdown lists. Edit the Lists sheet when you need more categories.</x:v>
      </x:c>
    </x:row>
    <x:row r="6" ht="48" customHeight="1">
      <x:c r="A6" s="76" t="str">
        <x:v>3</x:v>
      </x:c>
      <x:c r="B6" s="64" t="str">
        <x:v>Enter prices and quantity</x:v>
      </x:c>
      <x:c r="C6" s="21" t="str">
        <x:v>Gross P&amp;L calculates automatically from direction, quantity, entry price and exit price.</x:v>
      </x:c>
    </x:row>
    <x:row r="7" ht="48" customHeight="1">
      <x:c r="A7" s="76" t="str">
        <x:v>4</x:v>
      </x:c>
      <x:c r="B7" s="64" t="str">
        <x:v>Enter actual charges</x:v>
      </x:c>
      <x:c r="C7" s="21" t="str">
        <x:v>Enter brokerage, exchange charges, statutory/tax charges and other charges exactly as shown on the broker contract note or official statement.</x:v>
      </x:c>
    </x:row>
    <x:row r="8" ht="48" customHeight="1">
      <x:c r="A8" s="76" t="str">
        <x:v>5</x:v>
      </x:c>
      <x:c r="B8" s="64" t="str">
        <x:v>Review risk</x:v>
      </x:c>
      <x:c r="C8" s="21" t="str">
        <x:v>Planned Risk equals the absolute difference between entry and stop-loss multiplied by quantity. R-Multiple equals Net P&amp;L divided by Planned Risk.</x:v>
      </x:c>
    </x:row>
    <x:row r="9" ht="48" customHeight="1">
      <x:c r="A9" s="76" t="str">
        <x:v>6</x:v>
      </x:c>
      <x:c r="B9" s="64" t="str">
        <x:v>Use Raw Import</x:v>
      </x:c>
      <x:c r="C9" s="21" t="str">
        <x:v>Paste original broker CSV/API output into Raw Import before normalising it. Preserve order IDs and trade IDs for deduplication.</x:v>
      </x:c>
    </x:row>
    <x:row r="10" ht="48" customHeight="1">
      <x:c r="A10" s="76" t="str">
        <x:v>7</x:v>
      </x:c>
      <x:c r="B10" s="64" t="str">
        <x:v>Review performance</x:v>
      </x:c>
      <x:c r="C10" s="21" t="str">
        <x:v>The Review sheet summarises only rows marked LIVE ENTRY. Fictional examples are excluded from live metrics.</x:v>
      </x:c>
    </x:row>
    <x:row r="12">
      <x:c r="A12" s="64" t="str">
        <x:v>Important charge and tax note</x:v>
      </x:c>
      <x:c r="B12" s="64"/>
      <x:c r="C12" s="64"/>
      <x:c r="D12" s="64"/>
      <x:c r="E12" s="64"/>
      <x:c r="F12" s="64"/>
    </x:row>
    <x:row r="13">
      <x:c r="A13" s="21" t="str">
        <x:v>This workbook does not contain current brokerage, STT/CTT, GST, stamp duty, exchange transaction charges, SEBI charges, IPFT or other regulatory rates. Those amounts vary by broker, exchange, segment, product and effective date. For a completed trade, use the broker contract note or official statement as the authoritative record.</x:v>
      </x:c>
      <x:c r="B13" s="21"/>
      <x:c r="C13" s="21"/>
      <x:c r="D13" s="21"/>
      <x:c r="E13" s="21"/>
      <x:c r="F13" s="21"/>
    </x:row>
    <x:row r="14">
      <x:c r="A14" s="21"/>
      <x:c r="B14" s="21"/>
      <x:c r="C14" s="21"/>
      <x:c r="D14" s="21"/>
      <x:c r="E14" s="21"/>
      <x:c r="F14" s="21"/>
    </x:row>
    <x:row r="15">
      <x:c r="A15" s="21"/>
      <x:c r="B15" s="21"/>
      <x:c r="C15" s="21"/>
      <x:c r="D15" s="21"/>
      <x:c r="E15" s="21"/>
      <x:c r="F15" s="21"/>
    </x:row>
    <x:row r="17">
      <x:c r="A17" s="64" t="str">
        <x:v>Formula definitions</x:v>
      </x:c>
      <x:c r="B17" s="64"/>
      <x:c r="C17" s="64"/>
      <x:c r="D17" s="64"/>
      <x:c r="E17" s="64"/>
      <x:c r="F17" s="64"/>
    </x:row>
    <x:row r="18">
      <x:c r="A18" s="76" t="str">
        <x:v>Gross P&amp;L</x:v>
      </x:c>
      <x:c r="B18" s="21" t="str">
        <x:v>Long: (Exit − Entry) × Quantity. Short: (Entry − Exit) × Quantity.</x:v>
      </x:c>
    </x:row>
    <x:row r="19">
      <x:c r="A19" s="76" t="str">
        <x:v>Total Charges</x:v>
      </x:c>
      <x:c r="B19" s="21" t="str">
        <x:v>Sum of the four manually entered charge columns.</x:v>
      </x:c>
    </x:row>
    <x:row r="20">
      <x:c r="A20" s="76" t="str">
        <x:v>Net P&amp;L</x:v>
      </x:c>
      <x:c r="B20" s="21" t="str">
        <x:v>Gross P&amp;L − Total Charges.</x:v>
      </x:c>
    </x:row>
    <x:row r="21">
      <x:c r="A21" s="76" t="str">
        <x:v>Planned Risk</x:v>
      </x:c>
      <x:c r="B21" s="21" t="str">
        <x:v>|Entry − Stop Loss| × Quantity.</x:v>
      </x:c>
    </x:row>
    <x:row r="22">
      <x:c r="A22" s="76" t="str">
        <x:v>R-Multiple</x:v>
      </x:c>
      <x:c r="B22" s="21" t="str">
        <x:v>Net P&amp;L ÷ Planned Risk.</x:v>
      </x:c>
    </x:row>
  </x:sheetData>
  <x:mergeCells>
    <x:mergeCell ref="A1:F1"/>
    <x:mergeCell ref="A12:F12"/>
    <x:mergeCell ref="A13:F15"/>
    <x:mergeCell ref="A17:F17"/>
  </x:mergeCells>
  <x:pageMargins left="0.7" right="0.7" top="0.75" bottom="0.75" header="0.3" footer="0.3"/>
</x:worksheet>
</file>